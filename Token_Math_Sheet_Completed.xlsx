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Pricing Reference" sheetId="2" state="visible" r:id="rId2"/>
    <sheet xmlns:r="http://schemas.openxmlformats.org/officeDocument/2006/relationships" name="Cadence Reference" sheetId="3" state="visible" r:id="rId3"/>
    <sheet xmlns:r="http://schemas.openxmlformats.org/officeDocument/2006/relationships" name="Token Math Template" sheetId="4" state="visible" r:id="rId4"/>
    <sheet xmlns:r="http://schemas.openxmlformats.org/officeDocument/2006/relationships" name="Scenario Analysis" sheetId="5" state="visible" r:id="rId5"/>
    <sheet xmlns:r="http://schemas.openxmlformats.org/officeDocument/2006/relationships" name="Candidate Assumptions" sheetId="6" state="visible" r:id="rId6"/>
  </sheets>
  <definedNames/>
  <calcPr calcId="124519" fullCalcOnLoad="1"/>
</workbook>
</file>

<file path=xl/styles.xml><?xml version="1.0" encoding="utf-8"?>
<styleSheet xmlns="http://schemas.openxmlformats.org/spreadsheetml/2006/main">
  <numFmts count="9">
    <numFmt numFmtId="164" formatCode="$0.00"/>
    <numFmt numFmtId="165" formatCode="$0.000"/>
    <numFmt numFmtId="166" formatCode="$#,##0"/>
    <numFmt numFmtId="167" formatCode="$#,##0.00"/>
    <numFmt numFmtId="168" formatCode="0.0%"/>
    <numFmt numFmtId="169" formatCode="#,##0.0"/>
    <numFmt numFmtId="170" formatCode="$#,##0.0000"/>
    <numFmt numFmtId="171" formatCode="0.00x"/>
    <numFmt numFmtId="172" formatCode="$0.0000"/>
  </numFmts>
  <fonts count="6">
    <font>
      <name val="Calibri"/>
      <color theme="1"/>
      <sz val="11"/>
      <scheme val="minor"/>
    </font>
    <font>
      <name val="Carlito"/>
      <b val="1"/>
      <color rgb="FFFFFFFF"/>
      <sz val="16"/>
    </font>
    <font>
      <name val="Calibri"/>
      <color theme="1"/>
      <sz val="11"/>
    </font>
    <font>
      <name val="Carlito"/>
      <b val="1"/>
      <color rgb="FF1F2937"/>
      <sz val="11"/>
    </font>
    <font>
      <name val="Carlito"/>
      <color theme="1"/>
      <sz val="11"/>
    </font>
    <font>
      <name val="Carlito"/>
      <b val="1"/>
      <color rgb="FFFFFFFF"/>
      <sz val="11"/>
    </font>
  </fonts>
  <fills count="13">
    <fill>
      <patternFill/>
    </fill>
    <fill>
      <patternFill patternType="lightGray"/>
    </fill>
    <fill>
      <patternFill patternType="solid">
        <fgColor rgb="FF17365D"/>
        <bgColor rgb="FF17365D"/>
      </patternFill>
    </fill>
    <fill>
      <patternFill patternType="solid">
        <fgColor rgb="FFD9EAF7"/>
        <bgColor rgb="FFD9EAF7"/>
      </patternFill>
    </fill>
    <fill>
      <patternFill patternType="solid">
        <fgColor rgb="FF1F4E79"/>
        <bgColor rgb="FF1F4E79"/>
      </patternFill>
    </fill>
    <fill>
      <patternFill patternType="solid">
        <fgColor rgb="FF0F766E"/>
        <bgColor rgb="FF0F766E"/>
      </patternFill>
    </fill>
    <fill>
      <patternFill patternType="solid">
        <fgColor rgb="FF4F81BD"/>
        <bgColor rgb="FF4F81BD"/>
      </patternFill>
    </fill>
    <fill>
      <patternFill patternType="solid">
        <fgColor rgb="FF156082"/>
        <bgColor rgb="FF156082"/>
      </patternFill>
    </fill>
    <fill>
      <patternFill patternType="solid">
        <fgColor rgb="FFDBE5F1"/>
        <bgColor rgb="FFDBE5F1"/>
      </patternFill>
    </fill>
    <fill>
      <patternFill patternType="solid">
        <fgColor rgb="FFC1E4F5"/>
        <bgColor rgb="FFC1E4F5"/>
      </patternFill>
    </fill>
    <fill>
      <patternFill patternType="solid">
        <fgColor rgb="FFFFFFFF"/>
        <bgColor rgb="FFFFFFFF"/>
      </patternFill>
    </fill>
    <fill>
      <patternFill patternType="solid">
        <fgColor rgb="FFE2F0D9"/>
        <bgColor rgb="FFE2F0D9"/>
      </patternFill>
    </fill>
    <fill>
      <patternFill patternType="solid">
        <fgColor theme="0"/>
        <bgColor theme="0"/>
      </patternFill>
    </fill>
  </fills>
  <borders count="1">
    <border/>
  </borders>
  <cellStyleXfs count="1">
    <xf numFmtId="0" fontId="0" fillId="0" borderId="0"/>
  </cellStyleXfs>
  <cellXfs count="89">
    <xf numFmtId="0" fontId="0" fillId="0" borderId="0" applyAlignment="1" pivotButton="0" quotePrefix="0" xfId="0">
      <alignment vertical="bottom"/>
    </xf>
    <xf numFmtId="0" fontId="1" fillId="2"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vertical="bottom"/>
    </xf>
    <xf numFmtId="0" fontId="3" fillId="3"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5" fillId="5" borderId="0" applyAlignment="1" pivotButton="0" quotePrefix="0" xfId="0">
      <alignment horizontal="center" vertical="bottom" wrapText="1"/>
    </xf>
    <xf numFmtId="0" fontId="4" fillId="0" borderId="0" applyAlignment="1" pivotButton="0" quotePrefix="0" xfId="0">
      <alignment vertical="bottom" wrapText="1"/>
    </xf>
    <xf numFmtId="0" fontId="5" fillId="4" borderId="0" applyAlignment="1" pivotButton="0" quotePrefix="0" xfId="0">
      <alignment vertical="bottom" wrapText="1"/>
    </xf>
    <xf numFmtId="0" fontId="3" fillId="3" borderId="0" applyAlignment="1" pivotButton="0" quotePrefix="0" xfId="0">
      <alignment horizontal="center" vertical="bottom" wrapText="1"/>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5" fillId="7" borderId="0" applyAlignment="1" pivotButton="0" quotePrefix="0" xfId="0">
      <alignment horizontal="center" vertical="bottom" wrapText="1"/>
    </xf>
    <xf numFmtId="0" fontId="4" fillId="8" borderId="0" applyAlignment="1" pivotButton="0" quotePrefix="0" xfId="0">
      <alignment vertical="bottom" wrapText="1"/>
    </xf>
    <xf numFmtId="164" fontId="4" fillId="8" borderId="0" applyAlignment="1" pivotButton="0" quotePrefix="0" xfId="0">
      <alignment vertical="bottom" wrapText="1"/>
    </xf>
    <xf numFmtId="165" fontId="4" fillId="8" borderId="0" applyAlignment="1" pivotButton="0" quotePrefix="0" xfId="0">
      <alignment horizontal="right" vertical="bottom" wrapText="1"/>
    </xf>
    <xf numFmtId="165" fontId="4" fillId="9" borderId="0" applyAlignment="1" pivotButton="0" quotePrefix="0" xfId="0">
      <alignment horizontal="right" vertical="bottom" wrapText="1"/>
    </xf>
    <xf numFmtId="0" fontId="4" fillId="9" borderId="0" applyAlignment="1" pivotButton="0" quotePrefix="0" xfId="0">
      <alignmen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64" fontId="4" fillId="10" borderId="0" applyAlignment="1" pivotButton="0" quotePrefix="0" xfId="0">
      <alignment vertical="bottom" wrapText="1"/>
    </xf>
    <xf numFmtId="165" fontId="4" fillId="10" borderId="0" applyAlignment="1" pivotButton="0" quotePrefix="0" xfId="0">
      <alignment horizontal="right" vertical="bottom" wrapText="1"/>
    </xf>
    <xf numFmtId="165" fontId="4" fillId="10" borderId="0" applyAlignment="1" pivotButton="0" quotePrefix="0" xfId="0">
      <alignment horizontal="right" vertical="bottom" wrapText="1"/>
    </xf>
    <xf numFmtId="0" fontId="4" fillId="10" borderId="0" applyAlignment="1" pivotButton="0" quotePrefix="0" xfId="0">
      <alignment vertical="bottom" wrapText="1"/>
    </xf>
    <xf numFmtId="0" fontId="2" fillId="10" borderId="0" applyAlignment="1" pivotButton="0" quotePrefix="0" xfId="0">
      <alignment vertical="bottom"/>
    </xf>
    <xf numFmtId="0" fontId="5" fillId="4" borderId="0" applyAlignment="1" pivotButton="0" quotePrefix="0" xfId="0">
      <alignment vertical="bottom"/>
    </xf>
    <xf numFmtId="0" fontId="1" fillId="2" borderId="0" applyAlignment="1" pivotButton="0" quotePrefix="0" xfId="0">
      <alignment vertical="bottom"/>
    </xf>
    <xf numFmtId="0" fontId="5" fillId="6" borderId="0" applyAlignment="1" pivotButton="0" quotePrefix="0" xfId="0">
      <alignment horizontal="center" vertical="bottom" wrapText="1"/>
    </xf>
    <xf numFmtId="0" fontId="4" fillId="9" borderId="0" applyAlignment="1" pivotButton="0" quotePrefix="0" xfId="0">
      <alignment vertical="bottom" wrapText="1"/>
    </xf>
    <xf numFmtId="1" fontId="4" fillId="9" borderId="0" applyAlignment="1" pivotButton="0" quotePrefix="0" xfId="0">
      <alignment horizontal="right" vertical="bottom" wrapText="1"/>
    </xf>
    <xf numFmtId="0" fontId="2" fillId="9" borderId="0" applyAlignment="1" pivotButton="0" quotePrefix="0" xfId="0">
      <alignment vertical="bottom"/>
    </xf>
    <xf numFmtId="0" fontId="4" fillId="10" borderId="0" applyAlignment="1" pivotButton="0" quotePrefix="0" xfId="0">
      <alignment vertical="bottom" wrapText="1"/>
    </xf>
    <xf numFmtId="1" fontId="4" fillId="10" borderId="0" applyAlignment="1" pivotButton="0" quotePrefix="0" xfId="0">
      <alignment horizontal="right" vertical="bottom" wrapText="1"/>
    </xf>
    <xf numFmtId="0" fontId="2" fillId="10" borderId="0" applyAlignment="1" pivotButton="0" quotePrefix="0" xfId="0">
      <alignment vertical="bottom"/>
    </xf>
    <xf numFmtId="1" fontId="2" fillId="10" borderId="0" applyAlignment="1" pivotButton="0" quotePrefix="0" xfId="0">
      <alignment vertical="bottom"/>
    </xf>
    <xf numFmtId="166" fontId="4" fillId="11" borderId="0" applyAlignment="1" pivotButton="0" quotePrefix="0" xfId="0">
      <alignment horizontal="right" vertical="bottom"/>
    </xf>
    <xf numFmtId="0" fontId="5" fillId="4" borderId="0" applyAlignment="1" pivotButton="0" quotePrefix="0" xfId="0">
      <alignment vertical="bottom"/>
    </xf>
    <xf numFmtId="167" fontId="4" fillId="11" borderId="0" applyAlignment="1" pivotButton="0" quotePrefix="0" xfId="0">
      <alignment horizontal="right" vertical="bottom"/>
    </xf>
    <xf numFmtId="168" fontId="4" fillId="11" borderId="0" applyAlignment="1" pivotButton="0" quotePrefix="0" xfId="0">
      <alignment horizontal="right" vertical="bottom"/>
    </xf>
    <xf numFmtId="168" fontId="4" fillId="11" borderId="0" applyAlignment="1" pivotButton="0" quotePrefix="0" xfId="0">
      <alignment vertical="bottom" wrapText="1"/>
    </xf>
    <xf numFmtId="0" fontId="4" fillId="11" borderId="0" applyAlignment="1" pivotButton="0" quotePrefix="0" xfId="0">
      <alignment horizontal="right" vertical="bottom"/>
    </xf>
    <xf numFmtId="0" fontId="2" fillId="12" borderId="0" applyAlignment="1" pivotButton="0" quotePrefix="0" xfId="0">
      <alignment vertical="bottom"/>
    </xf>
    <xf numFmtId="0" fontId="4" fillId="12" borderId="0" applyAlignment="1" pivotButton="0" quotePrefix="0" xfId="0">
      <alignment vertical="bottom" wrapText="1"/>
    </xf>
    <xf numFmtId="0" fontId="2" fillId="12" borderId="0" applyAlignment="1" pivotButton="0" quotePrefix="0" xfId="0">
      <alignment vertical="bottom"/>
    </xf>
    <xf numFmtId="0" fontId="5" fillId="6" borderId="0" applyAlignment="1" pivotButton="0" quotePrefix="0" xfId="0">
      <alignment horizontal="center" vertical="bottom" wrapText="1"/>
    </xf>
    <xf numFmtId="169" fontId="5" fillId="6" borderId="0" applyAlignment="1" pivotButton="0" quotePrefix="0" xfId="0">
      <alignment horizontal="center" vertical="bottom" wrapText="1"/>
    </xf>
    <xf numFmtId="170" fontId="5" fillId="6" borderId="0" applyAlignment="1" pivotButton="0" quotePrefix="0" xfId="0">
      <alignment horizontal="center" vertical="bottom" wrapText="1"/>
    </xf>
    <xf numFmtId="168" fontId="5" fillId="6" borderId="0" applyAlignment="1" pivotButton="0" quotePrefix="0" xfId="0">
      <alignment horizontal="center" vertical="bottom" wrapText="1"/>
    </xf>
    <xf numFmtId="2" fontId="5" fillId="6" borderId="0" applyAlignment="1" pivotButton="0" quotePrefix="0" xfId="0">
      <alignment horizontal="center" vertical="bottom" wrapText="1"/>
    </xf>
    <xf numFmtId="0" fontId="4" fillId="9" borderId="0" applyAlignment="1" pivotButton="0" quotePrefix="0" xfId="0">
      <alignment vertical="bottom" wrapText="1"/>
    </xf>
    <xf numFmtId="3" fontId="4" fillId="9" borderId="0" applyAlignment="1" pivotButton="0" quotePrefix="0" xfId="0">
      <alignment horizontal="right" vertical="bottom" wrapText="1"/>
    </xf>
    <xf numFmtId="169" fontId="4" fillId="9" borderId="0" applyAlignment="1" pivotButton="0" quotePrefix="0" xfId="0">
      <alignment vertical="bottom" wrapText="1"/>
    </xf>
    <xf numFmtId="170" fontId="4" fillId="9" borderId="0" applyAlignment="1" pivotButton="0" quotePrefix="0" xfId="0">
      <alignment vertical="bottom" wrapText="1"/>
    </xf>
    <xf numFmtId="165" fontId="4" fillId="9" borderId="0" applyAlignment="1" pivotButton="0" quotePrefix="0" xfId="0">
      <alignment horizontal="right" vertical="bottom" wrapText="1"/>
    </xf>
    <xf numFmtId="168" fontId="4" fillId="9" borderId="0" applyAlignment="1" pivotButton="0" quotePrefix="0" xfId="0">
      <alignment horizontal="right" vertical="bottom" wrapText="1"/>
    </xf>
    <xf numFmtId="171" fontId="4" fillId="9" borderId="0" applyAlignment="1" pivotButton="0" quotePrefix="0" xfId="0">
      <alignment horizontal="right" vertical="bottom" wrapText="1"/>
    </xf>
    <xf numFmtId="172" fontId="4" fillId="9" borderId="0" applyAlignment="1" pivotButton="0" quotePrefix="0" xfId="0">
      <alignment horizontal="right" vertical="bottom" wrapText="1"/>
    </xf>
    <xf numFmtId="167" fontId="4" fillId="9" borderId="0" applyAlignment="1" pivotButton="0" quotePrefix="0" xfId="0">
      <alignment horizontal="right" vertical="bottom" wrapText="1"/>
    </xf>
    <xf numFmtId="172" fontId="2" fillId="9" borderId="0" applyAlignment="1" pivotButton="0" quotePrefix="0" xfId="0">
      <alignment vertical="bottom"/>
    </xf>
    <xf numFmtId="168" fontId="2" fillId="9" borderId="0" applyAlignment="1" pivotButton="0" quotePrefix="0" xfId="0">
      <alignment vertical="bottom"/>
    </xf>
    <xf numFmtId="3" fontId="4" fillId="10" borderId="0" applyAlignment="1" pivotButton="0" quotePrefix="0" xfId="0">
      <alignment horizontal="right" vertical="bottom" wrapText="1"/>
    </xf>
    <xf numFmtId="169" fontId="4" fillId="10" borderId="0" applyAlignment="1" pivotButton="0" quotePrefix="0" xfId="0">
      <alignment vertical="bottom" wrapText="1"/>
    </xf>
    <xf numFmtId="170" fontId="4" fillId="10" borderId="0" applyAlignment="1" pivotButton="0" quotePrefix="0" xfId="0">
      <alignment vertical="bottom" wrapText="1"/>
    </xf>
    <xf numFmtId="168" fontId="4" fillId="10" borderId="0" applyAlignment="1" pivotButton="0" quotePrefix="0" xfId="0">
      <alignment horizontal="right" vertical="bottom" wrapText="1"/>
    </xf>
    <xf numFmtId="171" fontId="4" fillId="10" borderId="0" applyAlignment="1" pivotButton="0" quotePrefix="0" xfId="0">
      <alignment horizontal="right" vertical="bottom" wrapText="1"/>
    </xf>
    <xf numFmtId="172" fontId="4" fillId="10" borderId="0" applyAlignment="1" pivotButton="0" quotePrefix="0" xfId="0">
      <alignment horizontal="right" vertical="bottom" wrapText="1"/>
    </xf>
    <xf numFmtId="167" fontId="4" fillId="10" borderId="0" applyAlignment="1" pivotButton="0" quotePrefix="0" xfId="0">
      <alignment horizontal="right" vertical="bottom" wrapText="1"/>
    </xf>
    <xf numFmtId="172" fontId="2" fillId="10" borderId="0" applyAlignment="1" pivotButton="0" quotePrefix="0" xfId="0">
      <alignment vertical="bottom"/>
    </xf>
    <xf numFmtId="168" fontId="2" fillId="10" borderId="0" applyAlignment="1" pivotButton="0" quotePrefix="0" xfId="0">
      <alignment vertical="bottom"/>
    </xf>
    <xf numFmtId="0" fontId="2" fillId="10" borderId="0" applyAlignment="1" pivotButton="0" quotePrefix="0" xfId="0">
      <alignment vertical="bottom"/>
    </xf>
    <xf numFmtId="3" fontId="2" fillId="10" borderId="0" applyAlignment="1" pivotButton="0" quotePrefix="0" xfId="0">
      <alignment vertical="bottom"/>
    </xf>
    <xf numFmtId="169" fontId="2" fillId="10" borderId="0" applyAlignment="1" pivotButton="0" quotePrefix="0" xfId="0">
      <alignment vertical="bottom"/>
    </xf>
    <xf numFmtId="170" fontId="2" fillId="10" borderId="0" applyAlignment="1" pivotButton="0" quotePrefix="0" xfId="0">
      <alignment vertical="bottom"/>
    </xf>
    <xf numFmtId="165" fontId="2" fillId="10" borderId="0" applyAlignment="1" pivotButton="0" quotePrefix="0" xfId="0">
      <alignment vertical="bottom"/>
    </xf>
    <xf numFmtId="171" fontId="2" fillId="10" borderId="0" applyAlignment="1" pivotButton="0" quotePrefix="0" xfId="0">
      <alignment vertical="bottom"/>
    </xf>
    <xf numFmtId="167" fontId="2" fillId="10" borderId="0" applyAlignment="1" pivotButton="0" quotePrefix="0" xfId="0">
      <alignment vertical="bottom"/>
    </xf>
    <xf numFmtId="0" fontId="2" fillId="9" borderId="0" applyAlignment="1" pivotButton="0" quotePrefix="0" xfId="0">
      <alignment vertical="bottom"/>
    </xf>
    <xf numFmtId="3" fontId="2" fillId="9" borderId="0" applyAlignment="1" pivotButton="0" quotePrefix="0" xfId="0">
      <alignment vertical="bottom"/>
    </xf>
    <xf numFmtId="169" fontId="2" fillId="9" borderId="0" applyAlignment="1" pivotButton="0" quotePrefix="0" xfId="0">
      <alignment vertical="bottom"/>
    </xf>
    <xf numFmtId="170" fontId="2" fillId="9" borderId="0" applyAlignment="1" pivotButton="0" quotePrefix="0" xfId="0">
      <alignment vertical="bottom"/>
    </xf>
    <xf numFmtId="165" fontId="2" fillId="9" borderId="0" applyAlignment="1" pivotButton="0" quotePrefix="0" xfId="0">
      <alignment vertical="bottom"/>
    </xf>
    <xf numFmtId="171" fontId="2" fillId="9" borderId="0" applyAlignment="1" pivotButton="0" quotePrefix="0" xfId="0">
      <alignment vertical="bottom"/>
    </xf>
    <xf numFmtId="167" fontId="2" fillId="9" borderId="0" applyAlignment="1" pivotButton="0" quotePrefix="0" xfId="0">
      <alignment vertical="bottom"/>
    </xf>
    <xf numFmtId="169" fontId="2" fillId="0" borderId="0" applyAlignment="1" pivotButton="0" quotePrefix="0" xfId="0">
      <alignment vertical="bottom"/>
    </xf>
    <xf numFmtId="170" fontId="2" fillId="0" borderId="0" applyAlignment="1" pivotButton="0" quotePrefix="0" xfId="0">
      <alignment vertical="bottom"/>
    </xf>
    <xf numFmtId="168" fontId="2" fillId="0" borderId="0" applyAlignment="1" pivotButton="0" quotePrefix="0" xfId="0">
      <alignment vertical="bottom"/>
    </xf>
    <xf numFmtId="2" fontId="2" fillId="0" borderId="0" applyAlignment="1" pivotButton="0" quotePrefix="0" xfId="0">
      <alignment vertical="bottom"/>
    </xf>
    <xf numFmtId="0" fontId="0" fillId="0" borderId="0" pivotButton="0" quotePrefix="0" xfId="0"/>
  </cellXfs>
  <cellStyles count="1">
    <cellStyle name="Normal" xfId="0" builtinId="0"/>
  </cellStyles>
  <dxfs count="6">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F4CCCC"/>
          <bgColor rgb="FFF4CCCC"/>
        </patternFill>
      </fill>
      <border/>
    </dxf>
  </dxfs>
  <tableStyles count="4" defaultTableStyle="TableStyleMedium9" defaultPivotStyle="PivotStyleLight16">
    <tableStyle name="Pricing Reference-style" pivot="0" count="3">
      <tableStyleElement type="headerRow" dxfId="1"/>
      <tableStyleElement type="firstRowStripe" dxfId="2"/>
      <tableStyleElement type="secondRowStripe" dxfId="3"/>
    </tableStyle>
    <tableStyle name="Cadence Reference-style" pivot="0" count="3">
      <tableStyleElement type="headerRow" dxfId="1"/>
      <tableStyleElement type="firstRowStripe" dxfId="4"/>
      <tableStyleElement type="secondRowStripe" dxfId="3"/>
    </tableStyle>
    <tableStyle name="Token Math Template-style" pivot="0" count="3">
      <tableStyleElement type="headerRow" dxfId="1"/>
      <tableStyleElement type="firstRowStripe" dxfId="2"/>
      <tableStyleElement type="secondRowStripe" dxfId="3"/>
    </tableStyle>
    <tableStyle name="Scenario Analysis-style" pivot="0" count="3">
      <tableStyleElement type="headerRow" dxfId="1"/>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4:E8" headerRowCount="1">
  <tableColumns count="5">
    <tableColumn id="1" name="Provider"/>
    <tableColumn id="2" name="Model"/>
    <tableColumn id="3" name="Intended use guidance"/>
    <tableColumn id="4" name="Input $/1M"/>
    <tableColumn id="5" name="Output $/1M"/>
  </tableColumns>
  <tableStyleInfo name="Pricing Reference-style" showFirstColumn="1" showLastColumn="1" showRowStripes="1" showColumnStripes="0"/>
</table>
</file>

<file path=xl/tables/table2.xml><?xml version="1.0" encoding="utf-8"?>
<table xmlns="http://schemas.openxmlformats.org/spreadsheetml/2006/main" id="2" name="Table_2" displayName="Table_2" ref="A4:D12" headerRowCount="1">
  <tableColumns count="4">
    <tableColumn id="1" name="Cadence"/>
    <tableColumn id="2" name="Annualization factor"/>
    <tableColumn id="3" name="Use when"/>
    <tableColumn id="4" name="Candidate notes"/>
  </tableColumns>
  <tableStyleInfo name="Cadence Reference-style" showFirstColumn="1" showLastColumn="1" showRowStripes="1" showColumnStripes="0"/>
</table>
</file>

<file path=xl/tables/table3.xml><?xml version="1.0" encoding="utf-8"?>
<table xmlns="http://schemas.openxmlformats.org/spreadsheetml/2006/main" id="3" name="Table_3" displayName="Table_3" ref="A11:O91" headerRowCount="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StyleInfo name="Token Math Template-style" showFirstColumn="1" showLastColumn="1" showRowStripes="1" showColumnStripes="0"/>
</table>
</file>

<file path=xl/tables/table4.xml><?xml version="1.0" encoding="utf-8"?>
<table xmlns="http://schemas.openxmlformats.org/spreadsheetml/2006/main" id="4" name="Table_4" displayName="Table_4" ref="A4:H8" headerRowCount="1">
  <tableColumns count="8">
    <tableColumn id="1" name="Scenario"/>
    <tableColumn id="2" name="Volume multiplier"/>
    <tableColumn id="3" name="Token-size multiplier"/>
    <tableColumn id="4" name="Model price multiplier"/>
    <tableColumn id="5" name="QA/retry multiplier"/>
    <tableColumn id="6" name="Estimated annual cost"/>
    <tableColumn id="7" name="Budget utilization"/>
    <tableColumn id="8" name="Rationale"/>
  </tableColumns>
  <tableStyleInfo name="Scenario Analys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outlineLevelCol="0"/>
  <cols>
    <col width="24" customWidth="1" style="88" min="1" max="1"/>
    <col width="110" customWidth="1" style="88" min="2" max="2"/>
    <col width="8.710000000000001" customWidth="1" style="88" min="3" max="26"/>
  </cols>
  <sheetData>
    <row r="1" ht="21.75" customHeight="1" s="88">
      <c r="A1" s="1" t="inlineStr">
        <is>
          <t>AI System Design Assessment: Candidate Token Math Workbook</t>
        </is>
      </c>
      <c r="I1" s="3" t="n"/>
      <c r="J1" s="3" t="n"/>
      <c r="K1" s="3" t="n"/>
      <c r="L1" s="3" t="n"/>
      <c r="M1" s="3" t="n"/>
      <c r="N1" s="3" t="n"/>
      <c r="O1" s="3" t="n"/>
      <c r="P1" s="3" t="n"/>
      <c r="Q1" s="3" t="n"/>
      <c r="R1" s="3" t="n"/>
      <c r="S1" s="3" t="n"/>
      <c r="T1" s="3" t="n"/>
      <c r="U1" s="3" t="n"/>
      <c r="V1" s="3" t="n"/>
      <c r="W1" s="3" t="n"/>
      <c r="X1" s="3" t="n"/>
      <c r="Y1" s="3" t="n"/>
      <c r="Z1" s="3" t="n"/>
    </row>
    <row r="2" ht="21.75" customHeight="1" s="88">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Purpose</t>
        </is>
      </c>
      <c r="B3" s="8" t="inlineStr">
        <is>
          <t>Build a defensible annual token-cost model for an AI system using OpenAI and/or Anthropic models where appropriate. Estimate annual token spend against a fixed $50,000/year token budget.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0" t="inlineStr">
        <is>
          <t>Important</t>
        </is>
      </c>
      <c r="B4" s="8" t="inlineStr">
        <is>
          <t>You do not need to spend the full budget. If utilization is low, explain why the design is efficient or what workload may be missing. If utilization is high, explain the operational value and risk controls.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0" t="inlineStr">
        <is>
          <t>Deliverable</t>
        </is>
      </c>
      <c r="B5" s="8" t="inlineStr">
        <is>
          <t>Complete the Token Math Template, Candidate Assumptions, and Scenario Analysis tabs. Leave formulas intact.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Math requirements</t>
        </is>
      </c>
      <c r="B6" s="8" t="inlineStr">
        <is>
          <t>Use cadence-aware annualization, separate input/output token pricing, explicit retry/recheck assumptions, and QA/evaluation overhead.</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Model routing</t>
        </is>
      </c>
      <c r="B7" s="8" t="inlineStr">
        <is>
          <t>Use cheaper models for high-volume/simple tasks and stronger models for complex reasoning, drafting, escalation, or evaluation. Explain why OpenAI or Anthropic is appropriate for each major workflow.</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Pricing</t>
        </is>
      </c>
      <c r="B8" s="8" t="inlineStr">
        <is>
          <t>The Pricing Reference tab includes official-source pricing as of the effective date. You may update it if prices have changed; cite any updated source in the sheet.</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21.75" customHeight="1" s="88">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21.75" customHeight="1" s="88">
      <c r="A10" s="9" t="inlineStr">
        <is>
          <t>What we evaluate</t>
        </is>
      </c>
      <c r="I10" s="3" t="n"/>
      <c r="J10" s="3" t="n"/>
      <c r="K10" s="3" t="n"/>
      <c r="L10" s="3" t="n"/>
      <c r="M10" s="3" t="n"/>
      <c r="N10" s="3" t="n"/>
      <c r="O10" s="3" t="n"/>
      <c r="P10" s="3" t="n"/>
      <c r="Q10" s="3" t="n"/>
      <c r="R10" s="3" t="n"/>
      <c r="S10" s="3" t="n"/>
      <c r="T10" s="3" t="n"/>
      <c r="U10" s="3" t="n"/>
      <c r="V10" s="3" t="n"/>
      <c r="W10" s="3" t="n"/>
      <c r="X10" s="3" t="n"/>
      <c r="Y10" s="3" t="n"/>
      <c r="Z10" s="3" t="n"/>
    </row>
    <row r="11" ht="21.75" customHeight="1" s="88">
      <c r="A11" s="7" t="inlineStr">
        <is>
          <t>Competency</t>
        </is>
      </c>
      <c r="B11" s="7" t="inlineStr">
        <is>
          <t>Strong response looks like</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1.75" customHeight="1" s="88">
      <c r="A12" s="8" t="inlineStr">
        <is>
          <t>Mathematical soundness</t>
        </is>
      </c>
      <c r="B12" s="8" t="inlineStr">
        <is>
          <t>Correct token units, input/output prices, cadence factors, annualization, and no hidden constants.</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21.75" customHeight="1" s="88">
      <c r="A13" s="8" t="inlineStr">
        <is>
          <t>System design judgment</t>
        </is>
      </c>
      <c r="B13" s="8" t="inlineStr">
        <is>
          <t>Breaks the AI system into realistic workflows rather than one generic model call.</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21.75" customHeight="1" s="88">
      <c r="A14" s="8" t="inlineStr">
        <is>
          <t>Model routing</t>
        </is>
      </c>
      <c r="B14" s="8" t="inlineStr">
        <is>
          <t>Cheap models for high-volume triage; stronger models only for complex reasoning or escalations.</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21.75" customHeight="1" s="88">
      <c r="A15" s="8" t="inlineStr">
        <is>
          <t>Budget reasoning</t>
        </is>
      </c>
      <c r="B15" s="8" t="inlineStr">
        <is>
          <t>Explains whether utilization is realistic; does not inflate spend just to hit $50,000.</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21.75" customHeight="1" s="88">
      <c r="A16" s="8" t="inlineStr">
        <is>
          <t>Assumptions</t>
        </is>
      </c>
      <c r="B16" s="8" t="inlineStr">
        <is>
          <t>Documents volume, context size, output size, retry/recheck, QA/eval, and caching/batch decisions.</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21.75" customHeight="1" s="88">
      <c r="A17" s="8" t="inlineStr">
        <is>
          <t>Sensitivity analysis</t>
        </is>
      </c>
      <c r="B17" s="8" t="inlineStr">
        <is>
          <t>Includes base, scaled, and stress cases with defensible multipliers.</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21.75" customHeight="1" s="8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21.75" customHeight="1" s="88">
      <c r="A19" s="9" t="inlineStr">
        <is>
          <t>Candidate instructions</t>
        </is>
      </c>
      <c r="I19" s="3" t="n"/>
      <c r="J19" s="3" t="n"/>
      <c r="K19" s="3" t="n"/>
      <c r="L19" s="3" t="n"/>
      <c r="M19" s="3" t="n"/>
      <c r="N19" s="3" t="n"/>
      <c r="O19" s="3" t="n"/>
      <c r="P19" s="3" t="n"/>
      <c r="Q19" s="3" t="n"/>
      <c r="R19" s="3" t="n"/>
      <c r="S19" s="3" t="n"/>
      <c r="T19" s="3" t="n"/>
      <c r="U19" s="3" t="n"/>
      <c r="V19" s="3" t="n"/>
      <c r="W19" s="3" t="n"/>
      <c r="X19" s="3" t="n"/>
      <c r="Y19" s="3" t="n"/>
      <c r="Z19" s="3" t="n"/>
    </row>
    <row r="20">
      <c r="A20" s="10" t="inlineStr">
        <is>
          <t>1</t>
        </is>
      </c>
      <c r="B20" s="8" t="inlineStr">
        <is>
          <t>Define AI workflow components in the Token Math Template. Include monitoring, prioritization, inbound issue handling, check-ins, quality review, interventions, escalation, memory/retrieval, and evaluation/QA.</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10" t="inlineStr">
        <is>
          <t>2</t>
        </is>
      </c>
      <c r="B21" s="8" t="inlineStr">
        <is>
          <t>For each component, estimate runs per cadence, cadence, input/output tokens per run, model choice, retry/recheck rate, and QA multiplier.</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10" t="inlineStr">
        <is>
          <t>3</t>
        </is>
      </c>
      <c r="B22" s="8" t="inlineStr">
        <is>
          <t>Use the notes column to justify assumptions. Rows without assumptions may be treated as incomplete.</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10" t="inlineStr">
        <is>
          <t>4</t>
        </is>
      </c>
      <c r="B23" s="8" t="inlineStr">
        <is>
          <t>Complete the Candidate Assumptions tab with your rationale for volume, model routing, context size, retry/QA overhead, and budget utilization.</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10" t="inlineStr">
        <is>
          <t>5</t>
        </is>
      </c>
      <c r="B24" s="8" t="inlineStr">
        <is>
          <t>Complete Scenario Analysis for at least Base, Scaled, and Stress cases.</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H1"/>
    <mergeCell ref="A19:H19"/>
    <mergeCell ref="A10:H10"/>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outlineLevelCol="0"/>
  <cols>
    <col width="24" customWidth="1" style="88" min="1" max="1"/>
    <col width="44" customWidth="1" style="88" min="2" max="2"/>
    <col width="18" customWidth="1" style="88" min="3" max="3"/>
    <col width="19" customWidth="1" style="88" min="4" max="4"/>
    <col width="35" customWidth="1" style="88" min="5" max="5"/>
    <col width="8.710000000000001" customWidth="1" style="88" min="6" max="26"/>
  </cols>
  <sheetData>
    <row r="1">
      <c r="A1" s="27" t="inlineStr">
        <is>
          <t>Pricing Reference - OpenAI and Anthropic</t>
        </is>
      </c>
      <c r="J1" s="3" t="n"/>
      <c r="K1" s="3" t="n"/>
      <c r="L1" s="3" t="n"/>
      <c r="M1" s="3" t="n"/>
      <c r="N1" s="3" t="n"/>
      <c r="O1" s="3" t="n"/>
      <c r="P1" s="3" t="n"/>
      <c r="Q1" s="3" t="n"/>
      <c r="R1" s="3" t="n"/>
      <c r="S1" s="3" t="n"/>
      <c r="T1" s="3" t="n"/>
      <c r="U1" s="3" t="n"/>
      <c r="V1" s="3" t="n"/>
      <c r="W1" s="3" t="n"/>
      <c r="X1" s="3" t="n"/>
      <c r="Y1" s="3" t="n"/>
      <c r="Z1" s="3" t="n"/>
    </row>
    <row r="2">
      <c r="A2" s="8" t="inlineStr">
        <is>
          <t>Prices are USD per 1,000,000 tokens unless noted. Candidates may update pricing if they cite a newer official source and effective date.</t>
        </is>
      </c>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Provider</t>
        </is>
      </c>
      <c r="B4" s="45" t="inlineStr">
        <is>
          <t>Model</t>
        </is>
      </c>
      <c r="C4" s="45" t="inlineStr">
        <is>
          <t>Intended use guidance</t>
        </is>
      </c>
      <c r="D4" s="45" t="inlineStr">
        <is>
          <t>Input $/1M</t>
        </is>
      </c>
      <c r="E4" s="45" t="inlineStr">
        <is>
          <t>Output $/1M</t>
        </is>
      </c>
      <c r="F4" s="13" t="inlineStr">
        <is>
          <t>Cached input $/1M</t>
        </is>
      </c>
      <c r="G4" s="13" t="inlineStr">
        <is>
          <t>Source URL</t>
        </is>
      </c>
      <c r="H4" s="13" t="inlineStr">
        <is>
          <t>Effective date</t>
        </is>
      </c>
      <c r="I4" s="13" t="inlineStr">
        <is>
          <t>Candidate notes</t>
        </is>
      </c>
      <c r="J4" s="3" t="n"/>
      <c r="K4" s="3" t="n"/>
      <c r="L4" s="3" t="n"/>
      <c r="M4" s="3" t="n"/>
      <c r="N4" s="3" t="n"/>
      <c r="O4" s="3" t="n"/>
      <c r="P4" s="3" t="n"/>
      <c r="Q4" s="3" t="n"/>
      <c r="R4" s="3" t="n"/>
      <c r="S4" s="3" t="n"/>
      <c r="T4" s="3" t="n"/>
      <c r="U4" s="3" t="n"/>
      <c r="V4" s="3" t="n"/>
      <c r="W4" s="3" t="n"/>
      <c r="X4" s="3" t="n"/>
      <c r="Y4" s="3" t="n"/>
      <c r="Z4" s="3" t="n"/>
    </row>
    <row r="5">
      <c r="A5" s="14" t="inlineStr">
        <is>
          <t>OpenAI</t>
        </is>
      </c>
      <c r="B5" s="14" t="inlineStr">
        <is>
          <t>GPT-5.5</t>
        </is>
      </c>
      <c r="C5" s="15" t="inlineStr">
        <is>
          <t>Frontier reasoning, complex coding, high-stakes multi-step professional work</t>
        </is>
      </c>
      <c r="D5" s="16" t="n">
        <v>5</v>
      </c>
      <c r="E5" s="16" t="n">
        <v>30</v>
      </c>
      <c r="F5" s="54" t="n">
        <v>0.5</v>
      </c>
      <c r="G5" s="50" t="inlineStr">
        <is>
          <t>https://openai.com/api/pricing/</t>
        </is>
      </c>
      <c r="H5" s="50" t="inlineStr">
        <is>
          <t>2026-05-17</t>
        </is>
      </c>
      <c r="I5" s="77" t="n"/>
      <c r="J5" s="3" t="n"/>
      <c r="K5" s="3" t="n"/>
      <c r="L5" s="3" t="n"/>
      <c r="M5" s="3" t="n"/>
      <c r="N5" s="3" t="n"/>
      <c r="O5" s="3" t="n"/>
      <c r="P5" s="3" t="n"/>
      <c r="Q5" s="3" t="n"/>
      <c r="R5" s="3" t="n"/>
      <c r="S5" s="3" t="n"/>
      <c r="T5" s="3" t="n"/>
      <c r="U5" s="3" t="n"/>
      <c r="V5" s="3" t="n"/>
      <c r="W5" s="3" t="n"/>
      <c r="X5" s="3" t="n"/>
      <c r="Y5" s="3" t="n"/>
      <c r="Z5" s="3" t="n"/>
    </row>
    <row r="6">
      <c r="A6" s="32" t="inlineStr">
        <is>
          <t>OpenAI</t>
        </is>
      </c>
      <c r="B6" s="32" t="inlineStr">
        <is>
          <t>GPT-5.4</t>
        </is>
      </c>
      <c r="C6" s="21" t="inlineStr">
        <is>
          <t>Strong general reasoning/coding; use selectively for complex workflow stages</t>
        </is>
      </c>
      <c r="D6" s="23" t="n">
        <v>2.5</v>
      </c>
      <c r="E6" s="23" t="n">
        <v>15</v>
      </c>
      <c r="F6" s="23" t="n">
        <v>0.25</v>
      </c>
      <c r="G6" s="32" t="inlineStr">
        <is>
          <t>https://openai.com/api/pricing/</t>
        </is>
      </c>
      <c r="H6" s="32" t="inlineStr">
        <is>
          <t>2026-05-17</t>
        </is>
      </c>
      <c r="I6" s="70" t="n"/>
      <c r="J6" s="3" t="n"/>
      <c r="K6" s="3" t="n"/>
      <c r="L6" s="3" t="n"/>
      <c r="M6" s="3" t="n"/>
      <c r="N6" s="3" t="n"/>
      <c r="O6" s="3" t="n"/>
      <c r="P6" s="3" t="n"/>
      <c r="Q6" s="3" t="n"/>
      <c r="R6" s="3" t="n"/>
      <c r="S6" s="3" t="n"/>
      <c r="T6" s="3" t="n"/>
      <c r="U6" s="3" t="n"/>
      <c r="V6" s="3" t="n"/>
      <c r="W6" s="3" t="n"/>
      <c r="X6" s="3" t="n"/>
      <c r="Y6" s="3" t="n"/>
      <c r="Z6" s="3" t="n"/>
    </row>
    <row r="7">
      <c r="A7" s="14" t="inlineStr">
        <is>
          <t>OpenAI</t>
        </is>
      </c>
      <c r="B7" s="14" t="inlineStr">
        <is>
          <t>GPT-5.4 mini</t>
        </is>
      </c>
      <c r="C7" s="15" t="inlineStr">
        <is>
          <t>Cost-conscious reasoning, subagents, standard drafting, triage-plus workflows</t>
        </is>
      </c>
      <c r="D7" s="16" t="n">
        <v>0.75</v>
      </c>
      <c r="E7" s="16" t="n">
        <v>4.5</v>
      </c>
      <c r="F7" s="54" t="n">
        <v>0.075</v>
      </c>
      <c r="G7" s="50" t="inlineStr">
        <is>
          <t>https://openai.com/api/pricing/</t>
        </is>
      </c>
      <c r="H7" s="50" t="inlineStr">
        <is>
          <t>2026-05-17</t>
        </is>
      </c>
      <c r="I7" s="77" t="n"/>
      <c r="J7" s="3" t="n"/>
      <c r="K7" s="3" t="n"/>
      <c r="L7" s="3" t="n"/>
      <c r="M7" s="3" t="n"/>
      <c r="N7" s="3" t="n"/>
      <c r="O7" s="3" t="n"/>
      <c r="P7" s="3" t="n"/>
      <c r="Q7" s="3" t="n"/>
      <c r="R7" s="3" t="n"/>
      <c r="S7" s="3" t="n"/>
      <c r="T7" s="3" t="n"/>
      <c r="U7" s="3" t="n"/>
      <c r="V7" s="3" t="n"/>
      <c r="W7" s="3" t="n"/>
      <c r="X7" s="3" t="n"/>
      <c r="Y7" s="3" t="n"/>
      <c r="Z7" s="3" t="n"/>
    </row>
    <row r="8">
      <c r="A8" s="32" t="inlineStr">
        <is>
          <t>OpenAI</t>
        </is>
      </c>
      <c r="B8" s="32" t="inlineStr">
        <is>
          <t>text-embedding-3-small</t>
        </is>
      </c>
      <c r="C8" s="21" t="inlineStr">
        <is>
          <t>Low-cost semantic search, memory/retrieval indexing, RAG embeddings</t>
        </is>
      </c>
      <c r="D8" s="23" t="n">
        <v>0.02</v>
      </c>
      <c r="E8" s="23" t="n">
        <v>0</v>
      </c>
      <c r="F8" s="23" t="n">
        <v>0</v>
      </c>
      <c r="G8" s="32" t="inlineStr">
        <is>
          <t>https://developers.openai.com/api/docs/models/text-embedding-3-small</t>
        </is>
      </c>
      <c r="H8" s="32" t="inlineStr">
        <is>
          <t>2026-05-17</t>
        </is>
      </c>
      <c r="I8" s="70" t="n"/>
      <c r="J8" s="3" t="n"/>
      <c r="K8" s="3" t="n"/>
      <c r="L8" s="3" t="n"/>
      <c r="M8" s="3" t="n"/>
      <c r="N8" s="3" t="n"/>
      <c r="O8" s="3" t="n"/>
      <c r="P8" s="3" t="n"/>
      <c r="Q8" s="3" t="n"/>
      <c r="R8" s="3" t="n"/>
      <c r="S8" s="3" t="n"/>
      <c r="T8" s="3" t="n"/>
      <c r="U8" s="3" t="n"/>
      <c r="V8" s="3" t="n"/>
      <c r="W8" s="3" t="n"/>
      <c r="X8" s="3" t="n"/>
      <c r="Y8" s="3" t="n"/>
      <c r="Z8" s="3" t="n"/>
    </row>
    <row r="9">
      <c r="A9" s="50" t="inlineStr">
        <is>
          <t>OpenAI</t>
        </is>
      </c>
      <c r="B9" s="50" t="inlineStr">
        <is>
          <t>text-embedding-3-large</t>
        </is>
      </c>
      <c r="C9" s="50" t="inlineStr">
        <is>
          <t>Higher-quality semantic search / retrieval where embedding quality is critical</t>
        </is>
      </c>
      <c r="D9" s="54" t="n">
        <v>0.13</v>
      </c>
      <c r="E9" s="54" t="n">
        <v>0</v>
      </c>
      <c r="F9" s="54" t="n">
        <v>0</v>
      </c>
      <c r="G9" s="50" t="inlineStr">
        <is>
          <t>https://developers.openai.com/api/docs/models/text-embedding-3-small</t>
        </is>
      </c>
      <c r="H9" s="50" t="inlineStr">
        <is>
          <t>2026-05-17</t>
        </is>
      </c>
      <c r="I9" s="77" t="n"/>
      <c r="J9" s="3" t="n"/>
      <c r="K9" s="3" t="n"/>
      <c r="L9" s="3" t="n"/>
      <c r="M9" s="3" t="n"/>
      <c r="N9" s="3" t="n"/>
      <c r="O9" s="3" t="n"/>
      <c r="P9" s="3" t="n"/>
      <c r="Q9" s="3" t="n"/>
      <c r="R9" s="3" t="n"/>
      <c r="S9" s="3" t="n"/>
      <c r="T9" s="3" t="n"/>
      <c r="U9" s="3" t="n"/>
      <c r="V9" s="3" t="n"/>
      <c r="W9" s="3" t="n"/>
      <c r="X9" s="3" t="n"/>
      <c r="Y9" s="3" t="n"/>
      <c r="Z9" s="3" t="n"/>
    </row>
    <row r="10">
      <c r="A10" s="32" t="inlineStr">
        <is>
          <t>Anthropic</t>
        </is>
      </c>
      <c r="B10" s="32" t="inlineStr">
        <is>
          <t>Claude Opus 4.7</t>
        </is>
      </c>
      <c r="C10" s="32" t="inlineStr">
        <is>
          <t>Frontier reasoning, complex escalation, deep analysis, advanced agents</t>
        </is>
      </c>
      <c r="D10" s="23" t="n">
        <v>5</v>
      </c>
      <c r="E10" s="23" t="n">
        <v>25</v>
      </c>
      <c r="F10" s="23" t="n">
        <v>0.5</v>
      </c>
      <c r="G10" s="32" t="inlineStr">
        <is>
          <t>https://platform.claude.com/docs/en/about-claude/pricing</t>
        </is>
      </c>
      <c r="H10" s="32" t="inlineStr">
        <is>
          <t>2026-05-17</t>
        </is>
      </c>
      <c r="I10" s="70" t="n"/>
      <c r="J10" s="3" t="n"/>
      <c r="K10" s="3" t="n"/>
      <c r="L10" s="3" t="n"/>
      <c r="M10" s="3" t="n"/>
      <c r="N10" s="3" t="n"/>
      <c r="O10" s="3" t="n"/>
      <c r="P10" s="3" t="n"/>
      <c r="Q10" s="3" t="n"/>
      <c r="R10" s="3" t="n"/>
      <c r="S10" s="3" t="n"/>
      <c r="T10" s="3" t="n"/>
      <c r="U10" s="3" t="n"/>
      <c r="V10" s="3" t="n"/>
      <c r="W10" s="3" t="n"/>
      <c r="X10" s="3" t="n"/>
      <c r="Y10" s="3" t="n"/>
      <c r="Z10" s="3" t="n"/>
    </row>
    <row r="11">
      <c r="A11" s="50" t="inlineStr">
        <is>
          <t>Anthropic</t>
        </is>
      </c>
      <c r="B11" s="50" t="inlineStr">
        <is>
          <t>Claude Sonnet 4.6</t>
        </is>
      </c>
      <c r="C11" s="50" t="inlineStr">
        <is>
          <t>High-quality general reasoning/drafting, complex customer workflows, evaluation</t>
        </is>
      </c>
      <c r="D11" s="54" t="n">
        <v>3</v>
      </c>
      <c r="E11" s="54" t="n">
        <v>15</v>
      </c>
      <c r="F11" s="54" t="n">
        <v>0.3</v>
      </c>
      <c r="G11" s="50" t="inlineStr">
        <is>
          <t>https://platform.claude.com/docs/en/about-claude/pricing</t>
        </is>
      </c>
      <c r="H11" s="50" t="inlineStr">
        <is>
          <t>2026-05-17</t>
        </is>
      </c>
      <c r="I11" s="77" t="n"/>
      <c r="J11" s="3" t="n"/>
      <c r="K11" s="3" t="n"/>
      <c r="L11" s="3" t="n"/>
      <c r="M11" s="3" t="n"/>
      <c r="N11" s="3" t="n"/>
      <c r="O11" s="3" t="n"/>
      <c r="P11" s="3" t="n"/>
      <c r="Q11" s="3" t="n"/>
      <c r="R11" s="3" t="n"/>
      <c r="S11" s="3" t="n"/>
      <c r="T11" s="3" t="n"/>
      <c r="U11" s="3" t="n"/>
      <c r="V11" s="3" t="n"/>
      <c r="W11" s="3" t="n"/>
      <c r="X11" s="3" t="n"/>
      <c r="Y11" s="3" t="n"/>
      <c r="Z11" s="3" t="n"/>
    </row>
    <row r="12">
      <c r="A12" s="32" t="inlineStr">
        <is>
          <t>Anthropic</t>
        </is>
      </c>
      <c r="B12" s="32" t="inlineStr">
        <is>
          <t>Claude Haiku 4.5</t>
        </is>
      </c>
      <c r="C12" s="32" t="inlineStr">
        <is>
          <t>Fast/high-volume triage, classification, extraction, lightweight routing</t>
        </is>
      </c>
      <c r="D12" s="23" t="n">
        <v>1</v>
      </c>
      <c r="E12" s="23" t="n">
        <v>5</v>
      </c>
      <c r="F12" s="23" t="n">
        <v>0.1</v>
      </c>
      <c r="G12" s="32" t="inlineStr">
        <is>
          <t>https://platform.claude.com/docs/en/about-claude/pricing</t>
        </is>
      </c>
      <c r="H12" s="32" t="inlineStr">
        <is>
          <t>2026-05-17</t>
        </is>
      </c>
      <c r="I12" s="70"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7" t="inlineStr">
        <is>
          <t>Notes for candidates</t>
        </is>
      </c>
      <c r="J14" s="3" t="n"/>
      <c r="K14" s="3" t="n"/>
      <c r="L14" s="3" t="n"/>
      <c r="M14" s="3" t="n"/>
      <c r="N14" s="3" t="n"/>
      <c r="O14" s="3" t="n"/>
      <c r="P14" s="3" t="n"/>
      <c r="Q14" s="3" t="n"/>
      <c r="R14" s="3" t="n"/>
      <c r="S14" s="3" t="n"/>
      <c r="T14" s="3" t="n"/>
      <c r="U14" s="3" t="n"/>
      <c r="V14" s="3" t="n"/>
      <c r="W14" s="3" t="n"/>
      <c r="X14" s="3" t="n"/>
      <c r="Y14" s="3" t="n"/>
      <c r="Z14" s="3" t="n"/>
    </row>
    <row r="15">
      <c r="A15" s="10" t="inlineStr">
        <is>
          <t>Batch/caching</t>
        </is>
      </c>
      <c r="B15" s="8" t="inlineStr">
        <is>
          <t>Batch processing and prompt caching can materially reduce costs. If you assume either, document it in Candidate Assumptions and adjust prices or multipliers transparently.</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0" t="inlineStr">
        <is>
          <t>Anthropic cache</t>
        </is>
      </c>
      <c r="B16" s="8" t="inlineStr">
        <is>
          <t>Claude cache reads are listed at 10% of base input pricing on the official pricing page. Cached input column here reflects that read-rate shorthand, not cache-write pricing.</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0" t="inlineStr">
        <is>
          <t>OpenAI cache</t>
        </is>
      </c>
      <c r="B17" s="8" t="inlineStr">
        <is>
          <t>OpenAI cached input pricing varies by model and is listed separately from base input/output pricing on the official pricing page.</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0" t="inlineStr">
        <is>
          <t>Embeddings</t>
        </is>
      </c>
      <c r="B18" s="8" t="inlineStr">
        <is>
          <t>Embedding models have input-token costs only; output cost is entered as $0 so formulas remain valid.</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88">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88">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88">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88">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88">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88">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88">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8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88">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88">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88">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88">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88">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88">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88">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88">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88">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8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88">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88">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88">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88">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88">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88">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88">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88">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88">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8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88">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88">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88">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88">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88">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88">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88">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88">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88">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8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88">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88">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88">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88">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88">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88">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88">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88">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88">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8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88">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88">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88">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88">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88">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88">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88">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88">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88">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8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88">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88">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88">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88">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88">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88">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88">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88">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88">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88">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88">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88">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3">
    <mergeCell ref="A1:I1"/>
    <mergeCell ref="A2:I2"/>
    <mergeCell ref="A14:I14"/>
  </mergeCell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Cadence Reference</t>
        </is>
      </c>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8" t="inlineStr">
        <is>
          <t>Use the cadence factor to annualize work correctly.</t>
        </is>
      </c>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Cadence</t>
        </is>
      </c>
      <c r="B4" s="45" t="inlineStr">
        <is>
          <t>Annualization factor</t>
        </is>
      </c>
      <c r="C4" s="45" t="inlineStr">
        <is>
          <t>Use when</t>
        </is>
      </c>
      <c r="D4" s="45" t="inlineStr">
        <is>
          <t>Candidate notes</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50" t="inlineStr">
        <is>
          <t>Business day</t>
        </is>
      </c>
      <c r="B5" s="30" t="n">
        <v>260</v>
      </c>
      <c r="C5" s="50" t="inlineStr">
        <is>
          <t>Runs only on business days</t>
        </is>
      </c>
      <c r="D5" s="77"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32" t="inlineStr">
        <is>
          <t>Calendar day</t>
        </is>
      </c>
      <c r="B6" s="33" t="n">
        <v>365</v>
      </c>
      <c r="C6" s="32" t="inlineStr">
        <is>
          <t>Runs every day including weekends/holidays</t>
        </is>
      </c>
      <c r="D6" s="70"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50" t="inlineStr">
        <is>
          <t>Weekly</t>
        </is>
      </c>
      <c r="B7" s="30" t="n">
        <v>52</v>
      </c>
      <c r="C7" s="50" t="inlineStr">
        <is>
          <t>Runs once per week</t>
        </is>
      </c>
      <c r="D7" s="77"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2" t="inlineStr">
        <is>
          <t>Biweekly</t>
        </is>
      </c>
      <c r="B8" s="33" t="n">
        <v>26</v>
      </c>
      <c r="C8" s="32" t="inlineStr">
        <is>
          <t>Runs once every two weeks</t>
        </is>
      </c>
      <c r="D8" s="70"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50" t="inlineStr">
        <is>
          <t>Monthly</t>
        </is>
      </c>
      <c r="B9" s="30" t="n">
        <v>12</v>
      </c>
      <c r="C9" s="50" t="inlineStr">
        <is>
          <t>Runs once per month</t>
        </is>
      </c>
      <c r="D9" s="77"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2" t="inlineStr">
        <is>
          <t>Quarterly</t>
        </is>
      </c>
      <c r="B10" s="33" t="n">
        <v>4</v>
      </c>
      <c r="C10" s="32" t="inlineStr">
        <is>
          <t>Runs once per quarter</t>
        </is>
      </c>
      <c r="D10" s="70"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50" t="inlineStr">
        <is>
          <t>Annual</t>
        </is>
      </c>
      <c r="B11" s="30" t="n">
        <v>1</v>
      </c>
      <c r="C11" s="50" t="inlineStr">
        <is>
          <t>Runs once per year</t>
        </is>
      </c>
      <c r="D11" s="77"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2" t="inlineStr">
        <is>
          <t>Manual</t>
        </is>
      </c>
      <c r="B12" s="35" t="n"/>
      <c r="C12" s="32" t="inlineStr">
        <is>
          <t>Use only if annualization is documented manually</t>
        </is>
      </c>
      <c r="D12" s="70"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outlineLevelCol="0"/>
  <cols>
    <col width="28" customWidth="1" style="88" min="1" max="3"/>
    <col width="14" customWidth="1" style="88" min="4" max="4"/>
    <col width="18" customWidth="1" style="88" min="5" max="6"/>
    <col width="20" customWidth="1" style="88" min="7" max="7"/>
    <col width="16" customWidth="1" style="88" min="8" max="8"/>
    <col width="17" customWidth="1" style="88" min="9" max="9"/>
    <col width="15" customWidth="1" style="88" min="10" max="11"/>
    <col width="16" customWidth="1" style="88" min="12" max="13"/>
    <col width="22" customWidth="1" style="88" min="14" max="14"/>
    <col width="45" customWidth="1" style="88" min="15" max="15"/>
    <col width="8.710000000000001" customWidth="1" style="88" min="16" max="26"/>
  </cols>
  <sheetData>
    <row r="1" ht="24" customHeight="1" s="88">
      <c r="A1" s="27" t="inlineStr">
        <is>
          <t>Token Math Template - Candidate Work Area</t>
        </is>
      </c>
      <c r="I1" s="3" t="n"/>
      <c r="J1" s="3" t="n"/>
      <c r="K1" s="3" t="n"/>
      <c r="L1" s="3" t="n"/>
      <c r="M1" s="3" t="n"/>
      <c r="N1" s="3" t="n"/>
      <c r="O1" s="3" t="n"/>
      <c r="P1" s="3" t="n"/>
      <c r="Q1" s="3" t="n"/>
      <c r="R1" s="3" t="n"/>
      <c r="S1" s="3" t="n"/>
      <c r="T1" s="3" t="n"/>
      <c r="U1" s="3" t="n"/>
      <c r="V1" s="3" t="n"/>
      <c r="W1" s="3" t="n"/>
      <c r="X1" s="3" t="n"/>
      <c r="Y1" s="3" t="n"/>
      <c r="Z1" s="3" t="n"/>
    </row>
    <row r="2" ht="36" customHeight="1" s="88">
      <c r="A2" s="3" t="inlineStr">
        <is>
          <t>Architecture summary: This system runs a daily account-health agent across ~750 accounts, scoring risk/expansion signals from CRM, usage, support, and call-note context (pulled via tool calls, reflecting realistic multi-turn agentic context sizes) via a cheap (Haiku) model, then a Sonnet-tier prioritization rollup surfaces the top accounts needing attention. Inbound issues (30/wk) and check-ins (12/wk) flow through shared classify-and-route plus drafting/prep agents that send work to immediate resolution, scheduled follow-up, or human escalation. A weekly quality-review pass checks customer-facing drafts against documented quality standards, a biweekly intervention-design job analyzes segment-level health declines and later measures outcomes, and a continuous escalation triage step plus an independent weekly sampled audit (on a different model family) provide 24/7 responsiveness and ongoing reliability checks. High-volume/simple steps run on Claude Haiku 4.5; complex reasoning, drafting, and evaluation run on Claude Sonnet 4.6 -- this keeps the system at roughly 1.4% of the $50,000/year budget even with realistic agentic context sizes, because a 750-account portfolio simply does not require high token volume to serve well; see Candidate Assumptions for why this low utilization is the efficient, correct answer rather than under-scoping.</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10" t="inlineStr">
        <is>
          <t>Annual token budget</t>
        </is>
      </c>
      <c r="B3" s="36" t="n">
        <v>50000</v>
      </c>
      <c r="C3" s="3" t="n"/>
      <c r="D3" s="37" t="inlineStr">
        <is>
          <t>Required coverage check</t>
        </is>
      </c>
      <c r="G3" s="3" t="n"/>
      <c r="H3" s="3" t="n"/>
      <c r="I3" s="3" t="n"/>
      <c r="J3" s="3" t="n"/>
      <c r="K3" s="3" t="n"/>
      <c r="L3" s="3" t="n"/>
      <c r="M3" s="3" t="n"/>
      <c r="N3" s="3" t="n"/>
      <c r="O3" s="3" t="n"/>
      <c r="P3" s="3" t="n"/>
      <c r="Q3" s="3" t="n"/>
      <c r="R3" s="3" t="n"/>
      <c r="S3" s="3" t="n"/>
      <c r="T3" s="3" t="n"/>
      <c r="U3" s="3" t="n"/>
      <c r="V3" s="3" t="n"/>
      <c r="W3" s="3" t="n"/>
      <c r="X3" s="3" t="n"/>
      <c r="Y3" s="3" t="n"/>
      <c r="Z3" s="3" t="n"/>
    </row>
    <row r="4">
      <c r="A4" s="10" t="inlineStr">
        <is>
          <t>Estimated annual token cost</t>
        </is>
      </c>
      <c r="B4" s="38">
        <f>SUM(Q13:Q62)</f>
        <v/>
      </c>
      <c r="C4" s="3" t="n"/>
      <c r="D4" s="7" t="inlineStr">
        <is>
          <t>Required operating area</t>
        </is>
      </c>
      <c r="E4" s="7" t="inlineStr">
        <is>
          <t>Status</t>
        </is>
      </c>
      <c r="F4" s="7" t="inlineStr">
        <is>
          <t>Candidate comment</t>
        </is>
      </c>
      <c r="G4" s="3" t="n"/>
      <c r="H4" s="3" t="n"/>
      <c r="I4" s="3" t="n"/>
      <c r="J4" s="3" t="n"/>
      <c r="K4" s="3" t="n"/>
      <c r="L4" s="3" t="n"/>
      <c r="M4" s="3" t="n"/>
      <c r="N4" s="3" t="n"/>
      <c r="O4" s="3" t="n"/>
      <c r="P4" s="3" t="n"/>
      <c r="Q4" s="3" t="n"/>
      <c r="R4" s="3" t="n"/>
      <c r="S4" s="3" t="n"/>
      <c r="T4" s="3" t="n"/>
      <c r="U4" s="3" t="n"/>
      <c r="V4" s="3" t="n"/>
      <c r="W4" s="3" t="n"/>
      <c r="X4" s="3" t="n"/>
      <c r="Y4" s="3" t="n"/>
      <c r="Z4" s="3" t="n"/>
    </row>
    <row r="5">
      <c r="A5" s="10" t="inlineStr">
        <is>
          <t>Budget utilization</t>
        </is>
      </c>
      <c r="B5" s="39">
        <f>IFERROR(B4/B3,0)</f>
        <v/>
      </c>
      <c r="C5" s="3" t="n"/>
      <c r="D5" s="8" t="inlineStr">
        <is>
          <t>Account monitoring</t>
        </is>
      </c>
      <c r="E5" s="8">
        <f>IF(COUNTIF($B$13:$B$62,D5)&gt;0,"Covered","Missing")</f>
        <v/>
      </c>
      <c r="F5" s="3" t="n"/>
      <c r="G5" s="3" t="n"/>
      <c r="H5" s="3" t="n"/>
      <c r="I5" s="3" t="n"/>
      <c r="J5" s="3" t="n"/>
      <c r="K5" s="3" t="n"/>
      <c r="L5" s="3" t="n"/>
      <c r="M5" s="3" t="n"/>
      <c r="N5" s="3" t="n"/>
      <c r="O5" s="3" t="n"/>
      <c r="P5" s="3" t="n"/>
      <c r="Q5" s="3" t="n"/>
      <c r="R5" s="3" t="n"/>
      <c r="S5" s="3" t="n"/>
      <c r="T5" s="3" t="n"/>
      <c r="U5" s="3" t="n"/>
      <c r="V5" s="3" t="n"/>
      <c r="W5" s="3" t="n"/>
      <c r="X5" s="3" t="n"/>
      <c r="Y5" s="3" t="n"/>
      <c r="Z5" s="3" t="n"/>
    </row>
    <row r="6">
      <c r="A6" s="10" t="inlineStr">
        <is>
          <t>Remaining budget</t>
        </is>
      </c>
      <c r="B6" s="38">
        <f>B3-B4</f>
        <v/>
      </c>
      <c r="C6" s="3" t="n"/>
      <c r="D6" s="8" t="inlineStr">
        <is>
          <t>Prioritization</t>
        </is>
      </c>
      <c r="E6" s="8">
        <f>IF(COUNTIF($B$13:$B$62,D6)&gt;0,"Covered","Missing")</f>
        <v/>
      </c>
      <c r="F6" s="3" t="n"/>
      <c r="G6" s="3" t="n"/>
      <c r="H6" s="3" t="n"/>
      <c r="I6" s="3" t="n"/>
      <c r="J6" s="3" t="n"/>
      <c r="K6" s="3" t="n"/>
      <c r="L6" s="3" t="n"/>
      <c r="M6" s="3" t="n"/>
      <c r="N6" s="3" t="n"/>
      <c r="O6" s="3" t="n"/>
      <c r="P6" s="3" t="n"/>
      <c r="Q6" s="3" t="n"/>
      <c r="R6" s="3" t="n"/>
      <c r="S6" s="3" t="n"/>
      <c r="T6" s="3" t="n"/>
      <c r="U6" s="3" t="n"/>
      <c r="V6" s="3" t="n"/>
      <c r="W6" s="3" t="n"/>
      <c r="X6" s="3" t="n"/>
      <c r="Y6" s="3" t="n"/>
      <c r="Z6" s="3" t="n"/>
    </row>
    <row r="7">
      <c r="A7" s="10" t="inlineStr">
        <is>
          <t>Budget interpretation</t>
        </is>
      </c>
      <c r="B7" s="40">
        <f>IF(B5&lt;0.25,"Low utilization: explain why efficient or under-scoped",IF(B5&lt;0.6,"Conservative: explain tradeoffs",IF(B5&lt;0.9,"Substantial production usage: justify assumptions",IF(B5&lt;1.1,"Near budget: explain risk controls","Over budget: optimize or justify"))))</f>
        <v/>
      </c>
      <c r="C7" s="3" t="n"/>
      <c r="D7" s="8" t="inlineStr">
        <is>
          <t>Inbound issue handling</t>
        </is>
      </c>
      <c r="E7" s="8">
        <f>IF(COUNTIF($B$13:$B$62,D7)&gt;0,"Covered","Missing")</f>
        <v/>
      </c>
      <c r="F7" s="3" t="n"/>
      <c r="G7" s="3" t="n"/>
      <c r="H7" s="3" t="n"/>
      <c r="I7" s="3" t="n"/>
      <c r="J7" s="3" t="n"/>
      <c r="K7" s="3" t="n"/>
      <c r="L7" s="3" t="n"/>
      <c r="M7" s="3" t="n"/>
      <c r="N7" s="3" t="n"/>
      <c r="O7" s="3" t="n"/>
      <c r="P7" s="3" t="n"/>
      <c r="Q7" s="3" t="n"/>
      <c r="R7" s="3" t="n"/>
      <c r="S7" s="3" t="n"/>
      <c r="T7" s="3" t="n"/>
      <c r="U7" s="3" t="n"/>
      <c r="V7" s="3" t="n"/>
      <c r="W7" s="3" t="n"/>
      <c r="X7" s="3" t="n"/>
      <c r="Y7" s="3" t="n"/>
      <c r="Z7" s="3" t="n"/>
    </row>
    <row r="8">
      <c r="A8" s="10" t="inlineStr">
        <is>
          <t>Components entered</t>
        </is>
      </c>
      <c r="B8" s="41">
        <f>COUNTA(A13:A62)</f>
        <v/>
      </c>
      <c r="C8" s="3" t="n"/>
      <c r="D8" s="8" t="inlineStr">
        <is>
          <t>Customer check-in support</t>
        </is>
      </c>
      <c r="E8" s="8">
        <f>IF(COUNTIF($B$13:$B$62,D8)&gt;0,"Covered","Missing")</f>
        <v/>
      </c>
      <c r="F8" s="3" t="n"/>
      <c r="G8" s="3" t="n"/>
      <c r="H8" s="3" t="n"/>
      <c r="I8" s="3" t="n"/>
      <c r="J8" s="3" t="n"/>
      <c r="K8" s="3" t="n"/>
      <c r="L8" s="3" t="n"/>
      <c r="M8" s="3" t="n"/>
      <c r="N8" s="3" t="n"/>
      <c r="O8" s="3" t="n"/>
      <c r="P8" s="3" t="n"/>
      <c r="Q8" s="3" t="n"/>
      <c r="R8" s="3" t="n"/>
      <c r="S8" s="3" t="n"/>
      <c r="T8" s="3" t="n"/>
      <c r="U8" s="3" t="n"/>
      <c r="V8" s="3" t="n"/>
      <c r="W8" s="3" t="n"/>
      <c r="X8" s="3" t="n"/>
      <c r="Y8" s="3" t="n"/>
      <c r="Z8" s="3" t="n"/>
    </row>
    <row r="9">
      <c r="A9" s="10" t="inlineStr">
        <is>
          <t>Rows with missing required info</t>
        </is>
      </c>
      <c r="B9" s="41">
        <f>COUNTIF(V13:V62,"*Missing*")</f>
        <v/>
      </c>
      <c r="C9" s="3" t="n"/>
      <c r="D9" s="8" t="inlineStr">
        <is>
          <t>Output quality review</t>
        </is>
      </c>
      <c r="E9" s="8">
        <f>IF(COUNTIF($B$13:$B$62,D9)&gt;0,"Covered","Missing")</f>
        <v/>
      </c>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8" t="inlineStr">
        <is>
          <t>Targeted intervention planning</t>
        </is>
      </c>
      <c r="E10" s="8">
        <f>IF(COUNTIF($B$13:$B$62,D10)&gt;0,"Covered","Missing")</f>
        <v/>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43.5" customHeight="1" s="88">
      <c r="A11" s="44" t="n"/>
      <c r="B11" s="44" t="n"/>
      <c r="C11" s="44" t="n"/>
      <c r="D11" s="43" t="inlineStr">
        <is>
          <t>24/7 responsiveness / escalation</t>
        </is>
      </c>
      <c r="E11" s="43">
        <f>IF(COUNTIF($B$13:$B$62,D11)&gt;0,"Covered","Missing")</f>
        <v/>
      </c>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5" t="inlineStr">
        <is>
          <t>Workflow component</t>
        </is>
      </c>
      <c r="B12" s="45" t="inlineStr">
        <is>
          <t>Operating area</t>
        </is>
      </c>
      <c r="C12" s="45" t="inlineStr">
        <is>
          <t>Trigger / schedule</t>
        </is>
      </c>
      <c r="D12" s="46" t="inlineStr">
        <is>
          <t>Runs per cadence</t>
        </is>
      </c>
      <c r="E12" s="46" t="inlineStr">
        <is>
          <t>Cadence</t>
        </is>
      </c>
      <c r="F12" s="46" t="inlineStr">
        <is>
          <t>Annualization factor</t>
        </is>
      </c>
      <c r="G12" s="45" t="inlineStr">
        <is>
          <t>Avg input tokens/run</t>
        </is>
      </c>
      <c r="H12" s="47" t="inlineStr">
        <is>
          <t>Avg output tokens/run</t>
        </is>
      </c>
      <c r="I12" s="47" t="inlineStr">
        <is>
          <t>Model</t>
        </is>
      </c>
      <c r="J12" s="48" t="inlineStr">
        <is>
          <t>Input $/1M</t>
        </is>
      </c>
      <c r="K12" s="49" t="inlineStr">
        <is>
          <t>Output $/1M</t>
        </is>
      </c>
      <c r="L12" s="47" t="inlineStr">
        <is>
          <t>Retry / recheck rate</t>
        </is>
      </c>
      <c r="M12" s="47" t="inlineStr">
        <is>
          <t>QA / eval multiplier</t>
        </is>
      </c>
      <c r="N12" s="47" t="inlineStr">
        <is>
          <t>Base cost/run</t>
        </is>
      </c>
      <c r="O12" s="45" t="inlineStr">
        <is>
          <t>Adjusted cost/run</t>
        </is>
      </c>
      <c r="P12" s="45" t="inlineStr">
        <is>
          <t>Cost per cadence</t>
        </is>
      </c>
      <c r="Q12" s="45" t="inlineStr">
        <is>
          <t>Estimated annual cost</t>
        </is>
      </c>
      <c r="R12" s="45" t="inlineStr">
        <is>
          <t>Notebook measured avg cost/run</t>
        </is>
      </c>
      <c r="S12" s="45" t="inlineStr">
        <is>
          <t>Estimate vs measured variance</t>
        </is>
      </c>
      <c r="T12" s="45" t="inlineStr">
        <is>
          <t>Candidate notes / assumptions</t>
        </is>
      </c>
      <c r="U12" s="45" t="inlineStr">
        <is>
          <t>Source / measurement link</t>
        </is>
      </c>
      <c r="V12" s="45" t="inlineStr">
        <is>
          <t>Review flag</t>
        </is>
      </c>
      <c r="W12" s="3" t="n"/>
      <c r="X12" s="3" t="n"/>
      <c r="Y12" s="3" t="n"/>
      <c r="Z12" s="3" t="n"/>
    </row>
    <row r="13">
      <c r="A13" s="50" t="inlineStr">
        <is>
          <t>Example: Daily account risk triage</t>
        </is>
      </c>
      <c r="B13" s="50" t="inlineStr">
        <is>
          <t>Account monitoring</t>
        </is>
      </c>
      <c r="C13" s="50" t="inlineStr">
        <is>
          <t>Business-day scan</t>
        </is>
      </c>
      <c r="D13" s="51" t="n">
        <v>1000</v>
      </c>
      <c r="E13" s="52" t="inlineStr">
        <is>
          <t>Business day</t>
        </is>
      </c>
      <c r="F13" s="51">
        <f t="array" ref="F13">IFERROR(XLOOKUP(E13,'Cadence Reference'!$A$5:$A$12,'Cadence Reference'!$B$5:$B$12),"")</f>
        <v/>
      </c>
      <c r="G13" s="51" t="n">
        <v>1500</v>
      </c>
      <c r="H13" s="51" t="n">
        <v>150</v>
      </c>
      <c r="I13" s="53" t="inlineStr">
        <is>
          <t>Claude Haiku 4.5</t>
        </is>
      </c>
      <c r="J13" s="54">
        <f t="array" ref="J13">IFERROR(XLOOKUP(I13,'Pricing Reference'!$B$5:$B$12,'Pricing Reference'!$D$5:$D$12),"")</f>
        <v/>
      </c>
      <c r="K13" s="54">
        <f t="array" ref="K13">IFERROR(XLOOKUP(I13,'Pricing Reference'!$B$5:$B$12,'Pricing Reference'!$E$5:$E$12),"")</f>
        <v/>
      </c>
      <c r="L13" s="55" t="n">
        <v>0.1</v>
      </c>
      <c r="M13" s="56" t="n">
        <v>1.1</v>
      </c>
      <c r="N13" s="57">
        <f>IF(OR(G13="",I13=""),"",((G13*J13)+(H13*K13))/1000000)</f>
        <v/>
      </c>
      <c r="O13" s="57">
        <f>IF(N13="","",N13*(1+L13)*M13)</f>
        <v/>
      </c>
      <c r="P13" s="57">
        <f>IF(OR(D13="",O13=""),"",D13*O13)</f>
        <v/>
      </c>
      <c r="Q13" s="58">
        <f>IF(OR(P13="",F13=""),"",P13*F13)</f>
        <v/>
      </c>
      <c r="R13" s="59" t="n"/>
      <c r="S13" s="60">
        <f>IF(R13="","",IF(O13=0,"",R13/O13-1))</f>
        <v/>
      </c>
      <c r="T13" s="50" t="inlineStr">
        <is>
          <t>Example only: candidate may replace. Assumes lightweight triage with short output.</t>
        </is>
      </c>
      <c r="U13" s="77" t="n"/>
      <c r="V13" s="77">
        <f>IF(A13="","",TEXTJOIN("; ",TRUE,IF(B13="","Missing operating area",""),IF(E13="","Missing cadence",""),IF(I13="","Missing model",""),IF(D13="","Missing volume",""),IF(G13="","Missing input tokens",""),IF(M13="","Missing QA multiplier",""),IF(T13="","Missing assumption notes","")))</f>
        <v/>
      </c>
      <c r="W13" s="3" t="n"/>
      <c r="X13" s="3" t="n"/>
      <c r="Y13" s="3" t="n"/>
      <c r="Z13" s="3" t="n"/>
    </row>
    <row r="14">
      <c r="A14" s="32" t="inlineStr">
        <is>
          <t>Example: Escalation reasoning</t>
        </is>
      </c>
      <c r="B14" s="32" t="inlineStr">
        <is>
          <t>24/7 responsiveness / escalation</t>
        </is>
      </c>
      <c r="C14" s="32" t="inlineStr">
        <is>
          <t>Event-driven escalations</t>
        </is>
      </c>
      <c r="D14" s="61" t="n">
        <v>25</v>
      </c>
      <c r="E14" s="62" t="inlineStr">
        <is>
          <t>Business day</t>
        </is>
      </c>
      <c r="F14" s="61">
        <f t="array" ref="F14">IFERROR(XLOOKUP(E14,'Cadence Reference'!$A$5:$A$12,'Cadence Reference'!$B$5:$B$12),"")</f>
        <v/>
      </c>
      <c r="G14" s="61" t="n">
        <v>12000</v>
      </c>
      <c r="H14" s="61" t="n">
        <v>1200</v>
      </c>
      <c r="I14" s="63" t="inlineStr">
        <is>
          <t>Claude Sonnet 4.6</t>
        </is>
      </c>
      <c r="J14" s="23">
        <f t="array" ref="J14">IFERROR(XLOOKUP(I14,'Pricing Reference'!$B$5:$B$12,'Pricing Reference'!$D$5:$D$12),"")</f>
        <v/>
      </c>
      <c r="K14" s="23">
        <f t="array" ref="K14">IFERROR(XLOOKUP(I14,'Pricing Reference'!$B$5:$B$12,'Pricing Reference'!$E$5:$E$12),"")</f>
        <v/>
      </c>
      <c r="L14" s="64" t="n">
        <v>0.15</v>
      </c>
      <c r="M14" s="65" t="n">
        <v>1.25</v>
      </c>
      <c r="N14" s="66">
        <f>IF(OR(G14="",I14=""),"",((G14*J14)+(H14*K14))/1000000)</f>
        <v/>
      </c>
      <c r="O14" s="66">
        <f>IF(N14="","",N14*(1+L14)*M14)</f>
        <v/>
      </c>
      <c r="P14" s="66">
        <f>IF(OR(D14="",O14=""),"",D14*O14)</f>
        <v/>
      </c>
      <c r="Q14" s="67">
        <f>IF(OR(P14="",F14=""),"",P14*F14)</f>
        <v/>
      </c>
      <c r="R14" s="68" t="n"/>
      <c r="S14" s="69">
        <f>IF(R14="","",IF(O14=0,"",R14/O14-1))</f>
        <v/>
      </c>
      <c r="T14" s="32" t="inlineStr">
        <is>
          <t>Example only: candidate may replace. Assumes larger account context and drafted recommendation.</t>
        </is>
      </c>
      <c r="U14" s="70" t="n"/>
      <c r="V14" s="70">
        <f>IF(A14="","",TEXTJOIN("; ",TRUE,IF(B14="","Missing operating area",""),IF(E14="","Missing cadence",""),IF(I14="","Missing model",""),IF(D14="","Missing volume",""),IF(G14="","Missing input tokens",""),IF(M14="","Missing QA multiplier",""),IF(T14="","Missing assumption notes","")))</f>
        <v/>
      </c>
      <c r="W14" s="3" t="n"/>
      <c r="X14" s="3" t="n"/>
      <c r="Y14" s="3" t="n"/>
      <c r="Z14" s="3" t="n"/>
    </row>
    <row r="15">
      <c r="A15" s="50" t="inlineStr">
        <is>
          <t>Example: QA sample review</t>
        </is>
      </c>
      <c r="B15" s="50" t="inlineStr">
        <is>
          <t>Evaluation / QA</t>
        </is>
      </c>
      <c r="C15" s="50" t="inlineStr">
        <is>
          <t>Weekly output review sample</t>
        </is>
      </c>
      <c r="D15" s="51" t="n">
        <v>100</v>
      </c>
      <c r="E15" s="52" t="inlineStr">
        <is>
          <t>Weekly</t>
        </is>
      </c>
      <c r="F15" s="51">
        <f t="array" ref="F15">IFERROR(XLOOKUP(E15,'Cadence Reference'!$A$5:$A$12,'Cadence Reference'!$B$5:$B$12),"")</f>
        <v/>
      </c>
      <c r="G15" s="51" t="n">
        <v>4000</v>
      </c>
      <c r="H15" s="51" t="n">
        <v>500</v>
      </c>
      <c r="I15" s="53" t="inlineStr">
        <is>
          <t>GPT-5.4 mini</t>
        </is>
      </c>
      <c r="J15" s="54">
        <f t="array" ref="J15">IFERROR(XLOOKUP(I15,'Pricing Reference'!$B$5:$B$12,'Pricing Reference'!$D$5:$D$12),"")</f>
        <v/>
      </c>
      <c r="K15" s="54">
        <f t="array" ref="K15">IFERROR(XLOOKUP(I15,'Pricing Reference'!$B$5:$B$12,'Pricing Reference'!$E$5:$E$12),"")</f>
        <v/>
      </c>
      <c r="L15" s="55" t="n">
        <v>0.05</v>
      </c>
      <c r="M15" s="56" t="n">
        <v>1</v>
      </c>
      <c r="N15" s="57">
        <f>IF(OR(G15="",I15=""),"",((G15*J15)+(H15*K15))/1000000)</f>
        <v/>
      </c>
      <c r="O15" s="57">
        <f>IF(N15="","",N15*(1+L15)*M15)</f>
        <v/>
      </c>
      <c r="P15" s="57">
        <f>IF(OR(D15="",O15=""),"",D15*O15)</f>
        <v/>
      </c>
      <c r="Q15" s="58">
        <f>IF(OR(P15="",F15=""),"",P15*F15)</f>
        <v/>
      </c>
      <c r="R15" s="59" t="n"/>
      <c r="S15" s="60">
        <f>IF(R15="","",IF(O15=0,"",R15/O15-1))</f>
        <v/>
      </c>
      <c r="T15" s="50" t="inlineStr">
        <is>
          <t>Example only: candidate may replace. Assumes rubric-based scoring of sampled outputs.</t>
        </is>
      </c>
      <c r="U15" s="77" t="n"/>
      <c r="V15" s="77">
        <f>IF(A15="","",TEXTJOIN("; ",TRUE,IF(B15="","Missing operating area",""),IF(E15="","Missing cadence",""),IF(I15="","Missing model",""),IF(D15="","Missing volume",""),IF(G15="","Missing input tokens",""),IF(M15="","Missing QA multiplier",""),IF(T15="","Missing assumption notes","")))</f>
        <v/>
      </c>
      <c r="W15" s="3" t="n"/>
      <c r="X15" s="3" t="n"/>
      <c r="Y15" s="3" t="n"/>
      <c r="Z15" s="3" t="n"/>
    </row>
    <row r="16" ht="37.5" customHeight="1" s="88">
      <c r="A16" s="70" t="inlineStr">
        <is>
          <t>Account monitoring</t>
        </is>
      </c>
      <c r="B16" s="70" t="inlineStr">
        <is>
          <t>Account monitoring</t>
        </is>
      </c>
      <c r="C16" s="70" t="inlineStr">
        <is>
          <t>Daily batched health/risk scan (750 accounts, 50/batch)</t>
        </is>
      </c>
      <c r="D16" s="71" t="n">
        <v>75</v>
      </c>
      <c r="E16" s="72" t="inlineStr">
        <is>
          <t>Business day</t>
        </is>
      </c>
      <c r="F16" s="71">
        <f t="array" ref="F16">IFERROR(XLOOKUP(E16,'Cadence Reference'!$A$5:$A$12,'Cadence Reference'!$B$5:$B$12),"")</f>
        <v/>
      </c>
      <c r="G16" s="71" t="n">
        <v>12000</v>
      </c>
      <c r="H16" s="71" t="n">
        <v>1500</v>
      </c>
      <c r="I16" s="73" t="inlineStr">
        <is>
          <t>Claude Haiku 4.5</t>
        </is>
      </c>
      <c r="J16" s="74">
        <f t="array" ref="J16">IFERROR(XLOOKUP(I16,'Pricing Reference'!$B$5:$B$12,'Pricing Reference'!$D$5:$D$12),"")</f>
        <v/>
      </c>
      <c r="K16" s="74">
        <f t="array" ref="K16">IFERROR(XLOOKUP(I16,'Pricing Reference'!$B$5:$B$12,'Pricing Reference'!$E$5:$E$12),"")</f>
        <v/>
      </c>
      <c r="L16" s="69" t="n">
        <v>0.05</v>
      </c>
      <c r="M16" s="75" t="n">
        <v>1.05</v>
      </c>
      <c r="N16" s="68">
        <f>IF(OR(G16="",I16=""),"",((G16*J16)+(H16*K16))/1000000)</f>
        <v/>
      </c>
      <c r="O16" s="68">
        <f>IF(N16="","",N16*(1+L16)*M16)</f>
        <v/>
      </c>
      <c r="P16" s="68">
        <f>IF(OR(D16="",O16=""),"",D16*O16)</f>
        <v/>
      </c>
      <c r="Q16" s="76">
        <f>IF(OR(P16="",F16=""),"",P16*F16)</f>
        <v/>
      </c>
      <c r="R16" s="68" t="n">
        <v>0.0058</v>
      </c>
      <c r="S16" s="69">
        <f>IF(R16="","",IF(O16=0,"",R16/O16-1))</f>
        <v/>
      </c>
      <c r="T16" s="70" t="inlineStr">
        <is>
          <t>Batches 50 accounts/call combining current/previous health score, usage trend, ticket count, NPS from accounts.csv + usage_events.csv. Haiku is sufficient for structured scoring/classification at this volume. Retry covers malformed JSON output.</t>
        </is>
      </c>
      <c r="U16" s="70" t="inlineStr">
        <is>
          <t>Measured in run_workflow.py stage_account_monitoring(); see outputs/run_1.json token_report.account_monitoring</t>
        </is>
      </c>
      <c r="V16" s="70">
        <f>IF(A16="","",TEXTJOIN("; ",TRUE,IF(B16="","Missing operating area",""),IF(E16="","Missing cadence",""),IF(I16="","Missing model",""),IF(D16="","Missing volume",""),IF(G16="","Missing input tokens",""),IF(M16="","Missing QA multiplier",""),IF(T16="","Missing assumption notes","")))</f>
        <v/>
      </c>
      <c r="W16" s="3" t="n"/>
      <c r="X16" s="3" t="n"/>
      <c r="Y16" s="3" t="n"/>
      <c r="Z16" s="3" t="n"/>
    </row>
    <row r="17" ht="37.5" customHeight="1" s="88">
      <c r="A17" s="77" t="inlineStr">
        <is>
          <t>Prioritization rollup</t>
        </is>
      </c>
      <c r="B17" s="77" t="inlineStr">
        <is>
          <t>Prioritization</t>
        </is>
      </c>
      <c r="C17" s="77" t="inlineStr">
        <is>
          <t>Daily ranking of top-risk/opportunity accounts from scored batches</t>
        </is>
      </c>
      <c r="D17" s="78" t="n">
        <v>1</v>
      </c>
      <c r="E17" s="79" t="inlineStr">
        <is>
          <t>Business day</t>
        </is>
      </c>
      <c r="F17" s="78">
        <f t="array" ref="F17">IFERROR(XLOOKUP(E17,'Cadence Reference'!$A$5:$A$12,'Cadence Reference'!$B$5:$B$12),"")</f>
        <v/>
      </c>
      <c r="G17" s="78" t="n">
        <v>10000</v>
      </c>
      <c r="H17" s="78" t="n">
        <v>2000</v>
      </c>
      <c r="I17" s="80" t="inlineStr">
        <is>
          <t>Claude Sonnet 4.6</t>
        </is>
      </c>
      <c r="J17" s="81">
        <f t="array" ref="J17">IFERROR(XLOOKUP(I17,'Pricing Reference'!$B$5:$B$12,'Pricing Reference'!$D$5:$D$12),"")</f>
        <v/>
      </c>
      <c r="K17" s="81">
        <f t="array" ref="K17">IFERROR(XLOOKUP(I17,'Pricing Reference'!$B$5:$B$12,'Pricing Reference'!$E$5:$E$12),"")</f>
        <v/>
      </c>
      <c r="L17" s="60" t="n">
        <v>0.05</v>
      </c>
      <c r="M17" s="82" t="n">
        <v>1.1</v>
      </c>
      <c r="N17" s="59">
        <f>IF(OR(G17="",I17=""),"",((G17*J17)+(H17*K17))/1000000)</f>
        <v/>
      </c>
      <c r="O17" s="59">
        <f>IF(N17="","",N17*(1+L17)*M17)</f>
        <v/>
      </c>
      <c r="P17" s="59">
        <f>IF(OR(D17="",O17=""),"",D17*O17)</f>
        <v/>
      </c>
      <c r="Q17" s="83">
        <f>IF(OR(P17="",F17=""),"",P17*F17)</f>
        <v/>
      </c>
      <c r="R17" s="59" t="n">
        <v>0.009299999999999999</v>
      </c>
      <c r="S17" s="60">
        <f>IF(R17="","",IF(O17=0,"",R17/O17-1))</f>
        <v/>
      </c>
      <c r="T17" s="77" t="inlineStr">
        <is>
          <t>Takes scored output from account monitoring, ranks top 5-15 accounts needing attention with rationale for CSM review. Needs stronger reasoning to weigh multiple risk signals, so routed to Sonnet.</t>
        </is>
      </c>
      <c r="U17" s="77" t="inlineStr">
        <is>
          <t>Measured in stage_prioritization(); outputs/priority_list.json</t>
        </is>
      </c>
      <c r="V17" s="77">
        <f>IF(A17="","",TEXTJOIN("; ",TRUE,IF(B17="","Missing operating area",""),IF(E17="","Missing cadence",""),IF(I17="","Missing model",""),IF(D17="","Missing volume",""),IF(G17="","Missing input tokens",""),IF(M17="","Missing QA multiplier",""),IF(T17="","Missing assumption notes","")))</f>
        <v/>
      </c>
      <c r="W17" s="3" t="n"/>
      <c r="X17" s="3" t="n"/>
      <c r="Y17" s="3" t="n"/>
      <c r="Z17" s="3" t="n"/>
    </row>
    <row r="18" ht="37.5" customHeight="1" s="88">
      <c r="A18" s="70" t="inlineStr">
        <is>
          <t>Inbound issue classification &amp; routing</t>
        </is>
      </c>
      <c r="B18" s="70" t="inlineStr">
        <is>
          <t>Inbound issue handling</t>
        </is>
      </c>
      <c r="C18" s="70" t="inlineStr">
        <is>
          <t>Each frontline ticket classified and routed on arrival</t>
        </is>
      </c>
      <c r="D18" s="71" t="n">
        <v>30</v>
      </c>
      <c r="E18" s="72" t="inlineStr">
        <is>
          <t>Weekly</t>
        </is>
      </c>
      <c r="F18" s="71">
        <f t="array" ref="F18">IFERROR(XLOOKUP(E18,'Cadence Reference'!$A$5:$A$12,'Cadence Reference'!$B$5:$B$12),"")</f>
        <v/>
      </c>
      <c r="G18" s="71" t="n">
        <v>3000</v>
      </c>
      <c r="H18" s="71" t="n">
        <v>400</v>
      </c>
      <c r="I18" s="73" t="inlineStr">
        <is>
          <t>Claude Haiku 4.5</t>
        </is>
      </c>
      <c r="J18" s="74">
        <f t="array" ref="J18">IFERROR(XLOOKUP(I18,'Pricing Reference'!$B$5:$B$12,'Pricing Reference'!$D$5:$D$12),"")</f>
        <v/>
      </c>
      <c r="K18" s="74">
        <f t="array" ref="K18">IFERROR(XLOOKUP(I18,'Pricing Reference'!$B$5:$B$12,'Pricing Reference'!$E$5:$E$12),"")</f>
        <v/>
      </c>
      <c r="L18" s="69" t="n">
        <v>0.05</v>
      </c>
      <c r="M18" s="75" t="n">
        <v>1</v>
      </c>
      <c r="N18" s="68">
        <f>IF(OR(G18="",I18=""),"",((G18*J18)+(H18*K18))/1000000)</f>
        <v/>
      </c>
      <c r="O18" s="68">
        <f>IF(N18="","",N18*(1+L18)*M18)</f>
        <v/>
      </c>
      <c r="P18" s="68">
        <f>IF(OR(D18="",O18=""),"",D18*O18)</f>
        <v/>
      </c>
      <c r="Q18" s="76">
        <f>IF(OR(P18="",F18=""),"",P18*F18)</f>
        <v/>
      </c>
      <c r="R18" s="68" t="n">
        <v>0.0017</v>
      </c>
      <c r="S18" s="69">
        <f>IF(R18="","",IF(O18=0,"",R18/O18-1))</f>
        <v/>
      </c>
      <c r="T18" s="70" t="inlineStr">
        <is>
          <t>Classifies severity/sentiment from support_tickets.csv and routes to immediate_resolution, scheduled_follow_up, or escalation. Simple structured classification task, high volume, low stakes per call -&gt; Haiku.</t>
        </is>
      </c>
      <c r="U18" s="70" t="inlineStr">
        <is>
          <t>Measured in stage_inbound_issues(); outputs/run_*.json token_report.inbound_issues</t>
        </is>
      </c>
      <c r="V18" s="70">
        <f>IF(A18="","",TEXTJOIN("; ",TRUE,IF(B18="","Missing operating area",""),IF(E18="","Missing cadence",""),IF(I18="","Missing model",""),IF(D18="","Missing volume",""),IF(G18="","Missing input tokens",""),IF(M18="","Missing QA multiplier",""),IF(T18="","Missing assumption notes","")))</f>
        <v/>
      </c>
      <c r="W18" s="3" t="n"/>
      <c r="X18" s="3" t="n"/>
      <c r="Y18" s="3" t="n"/>
      <c r="Z18" s="3" t="n"/>
    </row>
    <row r="19" ht="37.5" customHeight="1" s="88">
      <c r="A19" s="77" t="inlineStr">
        <is>
          <t>Inbound issue response drafting</t>
        </is>
      </c>
      <c r="B19" s="77" t="inlineStr">
        <is>
          <t>Inbound issue handling</t>
        </is>
      </c>
      <c r="C19" s="77" t="inlineStr">
        <is>
          <t>Drafted customer reply for tickets needing immediate/follow-up response (~60% of tickets)</t>
        </is>
      </c>
      <c r="D19" s="78" t="n">
        <v>18</v>
      </c>
      <c r="E19" s="79" t="inlineStr">
        <is>
          <t>Weekly</t>
        </is>
      </c>
      <c r="F19" s="78">
        <f t="array" ref="F19">IFERROR(XLOOKUP(E19,'Cadence Reference'!$A$5:$A$12,'Cadence Reference'!$B$5:$B$12),"")</f>
        <v/>
      </c>
      <c r="G19" s="78" t="n">
        <v>6000</v>
      </c>
      <c r="H19" s="78" t="n">
        <v>1200</v>
      </c>
      <c r="I19" s="80" t="inlineStr">
        <is>
          <t>Claude Sonnet 4.6</t>
        </is>
      </c>
      <c r="J19" s="81">
        <f t="array" ref="J19">IFERROR(XLOOKUP(I19,'Pricing Reference'!$B$5:$B$12,'Pricing Reference'!$D$5:$D$12),"")</f>
        <v/>
      </c>
      <c r="K19" s="81">
        <f t="array" ref="K19">IFERROR(XLOOKUP(I19,'Pricing Reference'!$B$5:$B$12,'Pricing Reference'!$E$5:$E$12),"")</f>
        <v/>
      </c>
      <c r="L19" s="60" t="n">
        <v>0.1</v>
      </c>
      <c r="M19" s="82" t="n">
        <v>1.15</v>
      </c>
      <c r="N19" s="59">
        <f>IF(OR(G19="",I19=""),"",((G19*J19)+(H19*K19))/1000000)</f>
        <v/>
      </c>
      <c r="O19" s="59">
        <f>IF(N19="","",N19*(1+L19)*M19)</f>
        <v/>
      </c>
      <c r="P19" s="59">
        <f>IF(OR(D19="",O19=""),"",D19*O19)</f>
        <v/>
      </c>
      <c r="Q19" s="83">
        <f>IF(OR(P19="",F19=""),"",P19*F19)</f>
        <v/>
      </c>
      <c r="R19" s="59" t="n">
        <v>0.011</v>
      </c>
      <c r="S19" s="60">
        <f>IF(R19="","",IF(O19=0,"",R19/O19-1))</f>
        <v/>
      </c>
      <c r="T19" s="77" t="inlineStr">
        <is>
          <t>Drafts customer-facing reply text using account/ticket context; higher stakes than routing alone (customer-visible language), 10% retry assumed for revision requests, QA multiplier covers a pass through quality_review logic before send.</t>
        </is>
      </c>
      <c r="U19" s="77" t="inlineStr">
        <is>
          <t>Measured in stage_inbound_issues() draft path; outputs/run_*.json</t>
        </is>
      </c>
      <c r="V19" s="77">
        <f>IF(A19="","",TEXTJOIN("; ",TRUE,IF(B19="","Missing operating area",""),IF(E19="","Missing cadence",""),IF(I19="","Missing model",""),IF(D19="","Missing volume",""),IF(G19="","Missing input tokens",""),IF(M19="","Missing QA multiplier",""),IF(T19="","Missing assumption notes","")))</f>
        <v/>
      </c>
      <c r="W19" s="3" t="n"/>
      <c r="X19" s="3" t="n"/>
      <c r="Y19" s="3" t="n"/>
      <c r="Z19" s="3" t="n"/>
    </row>
    <row r="20" ht="37.5" customHeight="1" s="88">
      <c r="A20" s="70" t="inlineStr">
        <is>
          <t>Check-in preparation</t>
        </is>
      </c>
      <c r="B20" s="70" t="inlineStr">
        <is>
          <t>Customer check-in support</t>
        </is>
      </c>
      <c r="C20" s="70" t="inlineStr">
        <is>
          <t>Pre-call agenda + context prep for each scheduled check-in</t>
        </is>
      </c>
      <c r="D20" s="71" t="n">
        <v>12</v>
      </c>
      <c r="E20" s="72" t="inlineStr">
        <is>
          <t>Weekly</t>
        </is>
      </c>
      <c r="F20" s="71">
        <f t="array" ref="F20">IFERROR(XLOOKUP(E20,'Cadence Reference'!$A$5:$A$12,'Cadence Reference'!$B$5:$B$12),"")</f>
        <v/>
      </c>
      <c r="G20" s="71" t="n">
        <v>8000</v>
      </c>
      <c r="H20" s="71" t="n">
        <v>1500</v>
      </c>
      <c r="I20" s="73" t="inlineStr">
        <is>
          <t>Claude Sonnet 4.6</t>
        </is>
      </c>
      <c r="J20" s="74">
        <f t="array" ref="J20">IFERROR(XLOOKUP(I20,'Pricing Reference'!$B$5:$B$12,'Pricing Reference'!$D$5:$D$12),"")</f>
        <v/>
      </c>
      <c r="K20" s="74">
        <f t="array" ref="K20">IFERROR(XLOOKUP(I20,'Pricing Reference'!$B$5:$B$12,'Pricing Reference'!$E$5:$E$12),"")</f>
        <v/>
      </c>
      <c r="L20" s="69" t="n">
        <v>0.05</v>
      </c>
      <c r="M20" s="75" t="n">
        <v>1.1</v>
      </c>
      <c r="N20" s="68">
        <f>IF(OR(G20="",I20=""),"",((G20*J20)+(H20*K20))/1000000)</f>
        <v/>
      </c>
      <c r="O20" s="68">
        <f>IF(N20="","",N20*(1+L20)*M20)</f>
        <v/>
      </c>
      <c r="P20" s="68">
        <f>IF(OR(D20="",O20=""),"",D20*O20)</f>
        <v/>
      </c>
      <c r="Q20" s="76">
        <f>IF(OR(P20="",F20=""),"",P20*F20)</f>
        <v/>
      </c>
      <c r="R20" s="68" t="n">
        <v>0.0094</v>
      </c>
      <c r="S20" s="69">
        <f>IF(R20="","",IF(O20=0,"",R20/O20-1))</f>
        <v/>
      </c>
      <c r="T20" s="70" t="inlineStr">
        <is>
          <t>Builds agenda and continuity summary from scheduled_checkins.csv + call_notes.csv history. Needs synthesis across multiple prior calls, so Sonnet.</t>
        </is>
      </c>
      <c r="U20" s="70" t="inlineStr">
        <is>
          <t>Measured in stage_checkins(); outputs/run_*.json token_report.checkins</t>
        </is>
      </c>
      <c r="V20" s="70">
        <f>IF(A20="","",TEXTJOIN("; ",TRUE,IF(B20="","Missing operating area",""),IF(E20="","Missing cadence",""),IF(I20="","Missing model",""),IF(D20="","Missing volume",""),IF(G20="","Missing input tokens",""),IF(M20="","Missing QA multiplier",""),IF(T20="","Missing assumption notes","")))</f>
        <v/>
      </c>
      <c r="W20" s="3" t="n"/>
      <c r="X20" s="3" t="n"/>
      <c r="Y20" s="3" t="n"/>
      <c r="Z20" s="3" t="n"/>
    </row>
    <row r="21" ht="37.5" customHeight="1" s="88">
      <c r="A21" s="77" t="inlineStr">
        <is>
          <t>Check-in continuity logging</t>
        </is>
      </c>
      <c r="B21" s="77" t="inlineStr">
        <is>
          <t>Customer check-in support</t>
        </is>
      </c>
      <c r="C21" s="77" t="inlineStr">
        <is>
          <t>Post-call structured logging of follow-up items and continuity notes</t>
        </is>
      </c>
      <c r="D21" s="78" t="n">
        <v>12</v>
      </c>
      <c r="E21" s="79" t="inlineStr">
        <is>
          <t>Weekly</t>
        </is>
      </c>
      <c r="F21" s="78">
        <f t="array" ref="F21">IFERROR(XLOOKUP(E21,'Cadence Reference'!$A$5:$A$12,'Cadence Reference'!$B$5:$B$12),"")</f>
        <v/>
      </c>
      <c r="G21" s="78" t="n">
        <v>3000</v>
      </c>
      <c r="H21" s="78" t="n">
        <v>600</v>
      </c>
      <c r="I21" s="80" t="inlineStr">
        <is>
          <t>Claude Haiku 4.5</t>
        </is>
      </c>
      <c r="J21" s="81">
        <f t="array" ref="J21">IFERROR(XLOOKUP(I21,'Pricing Reference'!$B$5:$B$12,'Pricing Reference'!$D$5:$D$12),"")</f>
        <v/>
      </c>
      <c r="K21" s="81">
        <f t="array" ref="K21">IFERROR(XLOOKUP(I21,'Pricing Reference'!$B$5:$B$12,'Pricing Reference'!$E$5:$E$12),"")</f>
        <v/>
      </c>
      <c r="L21" s="60" t="n">
        <v>0.05</v>
      </c>
      <c r="M21" s="82" t="n">
        <v>1</v>
      </c>
      <c r="N21" s="59">
        <f>IF(OR(G21="",I21=""),"",((G21*J21)+(H21*K21))/1000000)</f>
        <v/>
      </c>
      <c r="O21" s="59">
        <f>IF(N21="","",N21*(1+L21)*M21)</f>
        <v/>
      </c>
      <c r="P21" s="59">
        <f>IF(OR(D21="",O21=""),"",D21*O21)</f>
        <v/>
      </c>
      <c r="Q21" s="83">
        <f>IF(OR(P21="",F21=""),"",P21*F21)</f>
        <v/>
      </c>
      <c r="R21" s="59" t="n">
        <v>0.0027</v>
      </c>
      <c r="S21" s="60">
        <f>IF(R21="","",IF(O21=0,"",R21/O21-1))</f>
        <v/>
      </c>
      <c r="T21" s="77" t="inlineStr">
        <is>
          <t>Simple structured extraction/logging of follow-up items for the next cycle; no complex reasoning required, so Haiku is sufficient and keeps recurring weekly cost low.</t>
        </is>
      </c>
      <c r="U21" s="77" t="inlineStr">
        <is>
          <t>Folded into stage_checkins() continuity_note field; see README notes</t>
        </is>
      </c>
      <c r="V21" s="77">
        <f>IF(A21="","",TEXTJOIN("; ",TRUE,IF(B21="","Missing operating area",""),IF(E21="","Missing cadence",""),IF(I21="","Missing model",""),IF(D21="","Missing volume",""),IF(G21="","Missing input tokens",""),IF(M21="","Missing QA multiplier",""),IF(T21="","Missing assumption notes","")))</f>
        <v/>
      </c>
      <c r="W21" s="3" t="n"/>
      <c r="X21" s="3" t="n"/>
      <c r="Y21" s="3" t="n"/>
      <c r="Z21" s="3" t="n"/>
    </row>
    <row r="22" ht="37.5" customHeight="1" s="88">
      <c r="A22" s="70" t="inlineStr">
        <is>
          <t>Output quality review</t>
        </is>
      </c>
      <c r="B22" s="70" t="inlineStr">
        <is>
          <t>Output quality review</t>
        </is>
      </c>
      <c r="C22" s="70" t="inlineStr">
        <is>
          <t>Weekly review of customer-facing/account-management drafts against quality_standards.csv</t>
        </is>
      </c>
      <c r="D22" s="71" t="n">
        <v>40</v>
      </c>
      <c r="E22" s="72" t="inlineStr">
        <is>
          <t>Weekly</t>
        </is>
      </c>
      <c r="F22" s="71">
        <f t="array" ref="F22">IFERROR(XLOOKUP(E22,'Cadence Reference'!$A$5:$A$12,'Cadence Reference'!$B$5:$B$12),"")</f>
        <v/>
      </c>
      <c r="G22" s="71" t="n">
        <v>5000</v>
      </c>
      <c r="H22" s="71" t="n">
        <v>1000</v>
      </c>
      <c r="I22" s="73" t="inlineStr">
        <is>
          <t>Claude Sonnet 4.6</t>
        </is>
      </c>
      <c r="J22" s="74">
        <f t="array" ref="J22">IFERROR(XLOOKUP(I22,'Pricing Reference'!$B$5:$B$12,'Pricing Reference'!$D$5:$D$12),"")</f>
        <v/>
      </c>
      <c r="K22" s="74">
        <f t="array" ref="K22">IFERROR(XLOOKUP(I22,'Pricing Reference'!$B$5:$B$12,'Pricing Reference'!$E$5:$E$12),"")</f>
        <v/>
      </c>
      <c r="L22" s="69" t="n">
        <v>0.1</v>
      </c>
      <c r="M22" s="75" t="n">
        <v>1.2</v>
      </c>
      <c r="N22" s="68">
        <f>IF(OR(G22="",I22=""),"",((G22*J22)+(H22*K22))/1000000)</f>
        <v/>
      </c>
      <c r="O22" s="68">
        <f>IF(N22="","",N22*(1+L22)*M22)</f>
        <v/>
      </c>
      <c r="P22" s="68">
        <f>IF(OR(D22="",O22=""),"",D22*O22)</f>
        <v/>
      </c>
      <c r="Q22" s="76">
        <f>IF(OR(P22="",F22=""),"",P22*F22)</f>
        <v/>
      </c>
      <c r="R22" s="68" t="n">
        <v>0.008399999999999999</v>
      </c>
      <c r="S22" s="69">
        <f>IF(R22="","",IF(O22=0,"",R22/O22-1))</f>
        <v/>
      </c>
      <c r="T22" s="70" t="inlineStr">
        <is>
          <t>Checks each draft (e.g., junior_outputs.csv) against the 5 documented quality standards and flags missing coverage before it reaches a customer. Sonnet needed to reliably judge qualitative standards like tone/context relevance, not just keyword match.</t>
        </is>
      </c>
      <c r="U22" s="70" t="inlineStr">
        <is>
          <t>Measured in stage_quality_review(); outputs/run_*.json token_report.quality_review</t>
        </is>
      </c>
      <c r="V22" s="70">
        <f>IF(A22="","",TEXTJOIN("; ",TRUE,IF(B22="","Missing operating area",""),IF(E22="","Missing cadence",""),IF(I22="","Missing model",""),IF(D22="","Missing volume",""),IF(G22="","Missing input tokens",""),IF(M22="","Missing QA multiplier",""),IF(T22="","Missing assumption notes","")))</f>
        <v/>
      </c>
      <c r="W22" s="3" t="n"/>
      <c r="X22" s="3" t="n"/>
      <c r="Y22" s="3" t="n"/>
      <c r="Z22" s="3" t="n"/>
    </row>
    <row r="23" ht="37.5" customHeight="1" s="88">
      <c r="A23" s="77" t="inlineStr">
        <is>
          <t>Targeted intervention design</t>
        </is>
      </c>
      <c r="B23" s="77" t="inlineStr">
        <is>
          <t>Targeted intervention planning</t>
        </is>
      </c>
      <c r="C23" s="77" t="inlineStr">
        <is>
          <t>Biweekly design of a corrective action plan for a declining account segment</t>
        </is>
      </c>
      <c r="D23" s="78" t="n">
        <v>1</v>
      </c>
      <c r="E23" s="79" t="inlineStr">
        <is>
          <t>Biweekly</t>
        </is>
      </c>
      <c r="F23" s="78">
        <f t="array" ref="F23">IFERROR(XLOOKUP(E23,'Cadence Reference'!$A$5:$A$12,'Cadence Reference'!$B$5:$B$12),"")</f>
        <v/>
      </c>
      <c r="G23" s="78" t="n">
        <v>15000</v>
      </c>
      <c r="H23" s="78" t="n">
        <v>3000</v>
      </c>
      <c r="I23" s="80" t="inlineStr">
        <is>
          <t>Claude Sonnet 4.6</t>
        </is>
      </c>
      <c r="J23" s="81">
        <f t="array" ref="J23">IFERROR(XLOOKUP(I23,'Pricing Reference'!$B$5:$B$12,'Pricing Reference'!$D$5:$D$12),"")</f>
        <v/>
      </c>
      <c r="K23" s="81">
        <f t="array" ref="K23">IFERROR(XLOOKUP(I23,'Pricing Reference'!$B$5:$B$12,'Pricing Reference'!$E$5:$E$12),"")</f>
        <v/>
      </c>
      <c r="L23" s="60" t="n">
        <v>0.1</v>
      </c>
      <c r="M23" s="82" t="n">
        <v>1.2</v>
      </c>
      <c r="N23" s="59">
        <f>IF(OR(G23="",I23=""),"",((G23*J23)+(H23*K23))/1000000)</f>
        <v/>
      </c>
      <c r="O23" s="59">
        <f>IF(N23="","",N23*(1+L23)*M23)</f>
        <v/>
      </c>
      <c r="P23" s="59">
        <f>IF(OR(D23="",O23=""),"",D23*O23)</f>
        <v/>
      </c>
      <c r="Q23" s="83">
        <f>IF(OR(P23="",F23=""),"",P23*F23)</f>
        <v/>
      </c>
      <c r="R23" s="59" t="n">
        <v>0.0285</v>
      </c>
      <c r="S23" s="60">
        <f>IF(R23="","",IF(O23=0,"",R23/O23-1))</f>
        <v/>
      </c>
      <c r="T23" s="77" t="inlineStr">
        <is>
          <t>Analyzes the full declining-segment dataset (multiple accounts' health/usage/ticket history) and proposes an intervention + success metric. Larger context (segment-level, not single-account) and highest-stakes reasoning step, so Sonnet with a 20% QA multiplier for human-reviewer pass.</t>
        </is>
      </c>
      <c r="U23" s="77" t="inlineStr">
        <is>
          <t>Measured in stage_intervention(); outputs/intervention_plan.json</t>
        </is>
      </c>
      <c r="V23" s="77">
        <f>IF(A23="","",TEXTJOIN("; ",TRUE,IF(B23="","Missing operating area",""),IF(E23="","Missing cadence",""),IF(I23="","Missing model",""),IF(D23="","Missing volume",""),IF(G23="","Missing input tokens",""),IF(M23="","Missing QA multiplier",""),IF(T23="","Missing assumption notes","")))</f>
        <v/>
      </c>
      <c r="W23" s="3" t="n"/>
      <c r="X23" s="3" t="n"/>
      <c r="Y23" s="3" t="n"/>
      <c r="Z23" s="3" t="n"/>
    </row>
    <row r="24" ht="37.5" customHeight="1" s="88">
      <c r="A24" s="70" t="inlineStr">
        <is>
          <t>Intervention outcome measurement</t>
        </is>
      </c>
      <c r="B24" s="70" t="inlineStr">
        <is>
          <t>Targeted intervention planning</t>
        </is>
      </c>
      <c r="C24" s="70" t="inlineStr">
        <is>
          <t>Biweekly check of whether a prior intervention improved segment health</t>
        </is>
      </c>
      <c r="D24" s="71" t="n">
        <v>1</v>
      </c>
      <c r="E24" s="72" t="inlineStr">
        <is>
          <t>Biweekly</t>
        </is>
      </c>
      <c r="F24" s="71">
        <f t="array" ref="F24">IFERROR(XLOOKUP(E24,'Cadence Reference'!$A$5:$A$12,'Cadence Reference'!$B$5:$B$12),"")</f>
        <v/>
      </c>
      <c r="G24" s="71" t="n">
        <v>6000</v>
      </c>
      <c r="H24" s="71" t="n">
        <v>1000</v>
      </c>
      <c r="I24" s="73" t="inlineStr">
        <is>
          <t>Claude Haiku 4.5</t>
        </is>
      </c>
      <c r="J24" s="74">
        <f t="array" ref="J24">IFERROR(XLOOKUP(I24,'Pricing Reference'!$B$5:$B$12,'Pricing Reference'!$D$5:$D$12),"")</f>
        <v/>
      </c>
      <c r="K24" s="74">
        <f t="array" ref="K24">IFERROR(XLOOKUP(I24,'Pricing Reference'!$B$5:$B$12,'Pricing Reference'!$E$5:$E$12),"")</f>
        <v/>
      </c>
      <c r="L24" s="69" t="n">
        <v>0.05</v>
      </c>
      <c r="M24" s="75" t="n">
        <v>1</v>
      </c>
      <c r="N24" s="68">
        <f>IF(OR(G24="",I24=""),"",((G24*J24)+(H24*K24))/1000000)</f>
        <v/>
      </c>
      <c r="O24" s="68">
        <f>IF(N24="","",N24*(1+L24)*M24)</f>
        <v/>
      </c>
      <c r="P24" s="68">
        <f>IF(OR(D24="",O24=""),"",D24*O24)</f>
        <v/>
      </c>
      <c r="Q24" s="76">
        <f>IF(OR(P24="",F24=""),"",P24*F24)</f>
        <v/>
      </c>
      <c r="R24" s="68" t="n"/>
      <c r="S24" s="69">
        <f>IF(R24="","",IF(O24=0,"",R24/O24-1))</f>
        <v/>
      </c>
      <c r="T24" s="70" t="inlineStr">
        <is>
          <t>Compares post-intervention health/usage metrics against the target success metric defined at design time; a comparison/extraction task, not complex reasoning, so Haiku.</t>
        </is>
      </c>
      <c r="U24" s="70" t="inlineStr">
        <is>
          <t>Not yet wired into run_workflow.py demo; planned next stage of build, costed by analogy to similar Haiku extraction rows.</t>
        </is>
      </c>
      <c r="V24" s="70">
        <f>IF(A24="","",TEXTJOIN("; ",TRUE,IF(B24="","Missing operating area",""),IF(E24="","Missing cadence",""),IF(I24="","Missing model",""),IF(D24="","Missing volume",""),IF(G24="","Missing input tokens",""),IF(M24="","Missing QA multiplier",""),IF(T24="","Missing assumption notes","")))</f>
        <v/>
      </c>
      <c r="W24" s="3" t="n"/>
      <c r="X24" s="3" t="n"/>
      <c r="Y24" s="3" t="n"/>
      <c r="Z24" s="3" t="n"/>
    </row>
    <row r="25" ht="37.5" customHeight="1" s="88">
      <c r="A25" s="77" t="inlineStr">
        <is>
          <t>24/7 escalation triage</t>
        </is>
      </c>
      <c r="B25" s="77" t="inlineStr">
        <is>
          <t>24/7 responsiveness / escalation</t>
        </is>
      </c>
      <c r="C25" s="77" t="inlineStr">
        <is>
          <t>Continuous monitoring/intake of account-health changes and inbound issues outside business hours</t>
        </is>
      </c>
      <c r="D25" s="78" t="n">
        <v>20</v>
      </c>
      <c r="E25" s="79" t="inlineStr">
        <is>
          <t>Calendar day</t>
        </is>
      </c>
      <c r="F25" s="78">
        <f t="array" ref="F25">IFERROR(XLOOKUP(E25,'Cadence Reference'!$A$5:$A$12,'Cadence Reference'!$B$5:$B$12),"")</f>
        <v/>
      </c>
      <c r="G25" s="78" t="n">
        <v>2000</v>
      </c>
      <c r="H25" s="78" t="n">
        <v>300</v>
      </c>
      <c r="I25" s="80" t="inlineStr">
        <is>
          <t>Claude Haiku 4.5</t>
        </is>
      </c>
      <c r="J25" s="81">
        <f t="array" ref="J25">IFERROR(XLOOKUP(I25,'Pricing Reference'!$B$5:$B$12,'Pricing Reference'!$D$5:$D$12),"")</f>
        <v/>
      </c>
      <c r="K25" s="81">
        <f t="array" ref="K25">IFERROR(XLOOKUP(I25,'Pricing Reference'!$B$5:$B$12,'Pricing Reference'!$E$5:$E$12),"")</f>
        <v/>
      </c>
      <c r="L25" s="60" t="n">
        <v>0.05</v>
      </c>
      <c r="M25" s="82" t="n">
        <v>1</v>
      </c>
      <c r="N25" s="59">
        <f>IF(OR(G25="",I25=""),"",((G25*J25)+(H25*K25))/1000000)</f>
        <v/>
      </c>
      <c r="O25" s="59">
        <f>IF(N25="","",N25*(1+L25)*M25)</f>
        <v/>
      </c>
      <c r="P25" s="59">
        <f>IF(OR(D25="",O25=""),"",D25*O25)</f>
        <v/>
      </c>
      <c r="Q25" s="83">
        <f>IF(OR(P25="",F25=""),"",P25*F25)</f>
        <v/>
      </c>
      <c r="R25" s="59" t="n"/>
      <c r="S25" s="60">
        <f>IF(R25="","",IF(O25=0,"",R25/O25-1))</f>
        <v/>
      </c>
      <c r="T25" s="77" t="inlineStr">
        <is>
          <t>Lightweight always-on classifier that decides whether an overnight/weekend event needs immediate human escalation, can wait for business-hours follow-up, or is a non-event. Deliberately cheap and fast since most events are not actionable.</t>
        </is>
      </c>
      <c r="U25" s="77" t="inlineStr">
        <is>
          <t>Conceptually identical to stage_inbound_issues() classification logic, run continuously; not separately measured in current demo.</t>
        </is>
      </c>
      <c r="V25" s="77">
        <f>IF(A25="","",TEXTJOIN("; ",TRUE,IF(B25="","Missing operating area",""),IF(E25="","Missing cadence",""),IF(I25="","Missing model",""),IF(D25="","Missing volume",""),IF(G25="","Missing input tokens",""),IF(M25="","Missing QA multiplier",""),IF(T25="","Missing assumption notes","")))</f>
        <v/>
      </c>
      <c r="W25" s="3" t="n"/>
      <c r="X25" s="3" t="n"/>
      <c r="Y25" s="3" t="n"/>
      <c r="Z25" s="3" t="n"/>
    </row>
    <row r="26" ht="37.5" customHeight="1" s="88">
      <c r="A26" s="70" t="inlineStr">
        <is>
          <t>Memory / context retrieval</t>
        </is>
      </c>
      <c r="B26" s="70" t="inlineStr">
        <is>
          <t>Memory / retrieval</t>
        </is>
      </c>
      <c r="C26" s="70" t="inlineStr">
        <is>
          <t>Embedding-based retrieval of relevant account history/context feeding the higher-tier calls</t>
        </is>
      </c>
      <c r="D26" s="71" t="n">
        <v>75</v>
      </c>
      <c r="E26" s="72" t="inlineStr">
        <is>
          <t>Business day</t>
        </is>
      </c>
      <c r="F26" s="71">
        <f t="array" ref="F26">IFERROR(XLOOKUP(E26,'Cadence Reference'!$A$5:$A$12,'Cadence Reference'!$B$5:$B$12),"")</f>
        <v/>
      </c>
      <c r="G26" s="71" t="n">
        <v>2000</v>
      </c>
      <c r="H26" s="71" t="n">
        <v>0</v>
      </c>
      <c r="I26" s="73" t="inlineStr">
        <is>
          <t>text-embedding-3-small</t>
        </is>
      </c>
      <c r="J26" s="74">
        <f t="array" ref="J26">IFERROR(XLOOKUP(I26,'Pricing Reference'!$B$5:$B$12,'Pricing Reference'!$D$5:$D$12),"")</f>
        <v/>
      </c>
      <c r="K26" s="74">
        <f t="array" ref="K26">IFERROR(XLOOKUP(I26,'Pricing Reference'!$B$5:$B$12,'Pricing Reference'!$E$5:$E$12),"")</f>
        <v/>
      </c>
      <c r="L26" s="69" t="n">
        <v>0.02</v>
      </c>
      <c r="M26" s="75" t="n">
        <v>1</v>
      </c>
      <c r="N26" s="68">
        <f>IF(OR(G26="",I26=""),"",((G26*J26)+(H26*K26))/1000000)</f>
        <v/>
      </c>
      <c r="O26" s="68">
        <f>IF(N26="","",N26*(1+L26)*M26)</f>
        <v/>
      </c>
      <c r="P26" s="68">
        <f>IF(OR(D26="",O26=""),"",D26*O26)</f>
        <v/>
      </c>
      <c r="Q26" s="76">
        <f>IF(OR(P26="",F26=""),"",P26*F26)</f>
        <v/>
      </c>
      <c r="R26" s="68" t="n"/>
      <c r="S26" s="69">
        <f>IF(R26="","",IF(O26=0,"",R26/O26-1))</f>
        <v/>
      </c>
      <c r="T26" s="70" t="inlineStr">
        <is>
          <t>Retrieves the most relevant prior notes/tickets/usage snippets per account batch before scoring, prep, and drafting calls, rather than stuffing full history into every prompt. Embedding-only cost (no output tokens), very low per-call cost, keeps the larger Sonnet calls' input tokens lower than they'd otherwise be.</t>
        </is>
      </c>
      <c r="U26" s="70" t="inlineStr">
        <is>
          <t>Approximated by amortized history slices already included in stage_checkins()/stage_account_monitoring() prompts; would be a separate embedding index in a production build.</t>
        </is>
      </c>
      <c r="V26" s="70">
        <f>IF(A26="","",TEXTJOIN("; ",TRUE,IF(B26="","Missing operating area",""),IF(E26="","Missing cadence",""),IF(I26="","Missing model",""),IF(D26="","Missing volume",""),IF(G26="","Missing input tokens",""),IF(M26="","Missing QA multiplier",""),IF(T26="","Missing assumption notes","")))</f>
        <v/>
      </c>
      <c r="W26" s="3" t="n"/>
      <c r="X26" s="3" t="n"/>
      <c r="Y26" s="3" t="n"/>
      <c r="Z26" s="3" t="n"/>
    </row>
    <row r="27" ht="37.5" customHeight="1" s="88">
      <c r="A27" s="77" t="inlineStr">
        <is>
          <t>Evaluation / QA sampled audit</t>
        </is>
      </c>
      <c r="B27" s="77" t="inlineStr">
        <is>
          <t>Evaluation / QA</t>
        </is>
      </c>
      <c r="C27" s="77" t="inlineStr">
        <is>
          <t>Weekly sampled audit of system decisions (routing, scoring, drafts) for accuracy/drift</t>
        </is>
      </c>
      <c r="D27" s="78" t="n">
        <v>100</v>
      </c>
      <c r="E27" s="79" t="inlineStr">
        <is>
          <t>Weekly</t>
        </is>
      </c>
      <c r="F27" s="78">
        <f t="array" ref="F27">IFERROR(XLOOKUP(E27,'Cadence Reference'!$A$5:$A$12,'Cadence Reference'!$B$5:$B$12),"")</f>
        <v/>
      </c>
      <c r="G27" s="78" t="n">
        <v>8000</v>
      </c>
      <c r="H27" s="78" t="n">
        <v>1200</v>
      </c>
      <c r="I27" s="80" t="inlineStr">
        <is>
          <t>GPT-5.4 mini</t>
        </is>
      </c>
      <c r="J27" s="81">
        <f t="array" ref="J27">IFERROR(XLOOKUP(I27,'Pricing Reference'!$B$5:$B$12,'Pricing Reference'!$D$5:$D$12),"")</f>
        <v/>
      </c>
      <c r="K27" s="81">
        <f t="array" ref="K27">IFERROR(XLOOKUP(I27,'Pricing Reference'!$B$5:$B$12,'Pricing Reference'!$E$5:$E$12),"")</f>
        <v/>
      </c>
      <c r="L27" s="60" t="n">
        <v>0.05</v>
      </c>
      <c r="M27" s="82" t="n">
        <v>1</v>
      </c>
      <c r="N27" s="59">
        <f>IF(OR(G27="",I27=""),"",((G27*J27)+(H27*K27))/1000000)</f>
        <v/>
      </c>
      <c r="O27" s="59">
        <f>IF(N27="","",N27*(1+L27)*M27)</f>
        <v/>
      </c>
      <c r="P27" s="59">
        <f>IF(OR(D27="",O27=""),"",D27*O27)</f>
        <v/>
      </c>
      <c r="Q27" s="83">
        <f>IF(OR(P27="",F27=""),"",P27*F27)</f>
        <v/>
      </c>
      <c r="R27" s="59" t="n"/>
      <c r="S27" s="60">
        <f>IF(R27="","",IF(O27=0,"",R27/O27-1))</f>
        <v/>
      </c>
      <c r="T27" s="77" t="inlineStr">
        <is>
          <t>Independent sampled audit using a different model family than the production pipeline (OpenAI mini) to reduce correlated-error risk and give an external check on Claude-generated routing/scoring decisions, separate from the per-stage quality_review row above which checks customer-facing drafts specifically.</t>
        </is>
      </c>
      <c r="U27" s="77" t="inlineStr">
        <is>
          <t>Conceptual eval harness; assert-based checks already exist in stage_quality_review() and intervention design; full sampled audit not yet implemented in code.</t>
        </is>
      </c>
      <c r="V27" s="77">
        <f>IF(A27="","",TEXTJOIN("; ",TRUE,IF(B27="","Missing operating area",""),IF(E27="","Missing cadence",""),IF(I27="","Missing model",""),IF(D27="","Missing volume",""),IF(G27="","Missing input tokens",""),IF(M27="","Missing QA multiplier",""),IF(T27="","Missing assumption notes","")))</f>
        <v/>
      </c>
      <c r="W27" s="3" t="n"/>
      <c r="X27" s="3" t="n"/>
      <c r="Y27" s="3" t="n"/>
      <c r="Z27" s="3" t="n"/>
    </row>
    <row r="28" ht="37.5" customHeight="1" s="88">
      <c r="A28" s="70" t="n"/>
      <c r="B28" s="70" t="n"/>
      <c r="C28" s="70" t="n"/>
      <c r="D28" s="71" t="n"/>
      <c r="E28" s="72" t="n"/>
      <c r="F28" s="71">
        <f t="array" ref="F28">IFERROR(XLOOKUP(E28,'Cadence Reference'!$A$5:$A$12,'Cadence Reference'!$B$5:$B$12),"")</f>
        <v/>
      </c>
      <c r="G28" s="71" t="n"/>
      <c r="H28" s="71" t="n"/>
      <c r="I28" s="73" t="n"/>
      <c r="J28" s="74">
        <f t="array" ref="J28">IFERROR(XLOOKUP(I28,'Pricing Reference'!$B$5:$B$12,'Pricing Reference'!$D$5:$D$12),"")</f>
        <v/>
      </c>
      <c r="K28" s="74">
        <f t="array" ref="K28">IFERROR(XLOOKUP(I28,'Pricing Reference'!$B$5:$B$12,'Pricing Reference'!$E$5:$E$12),"")</f>
        <v/>
      </c>
      <c r="L28" s="69" t="n"/>
      <c r="M28" s="75" t="n"/>
      <c r="N28" s="68">
        <f>IF(OR(G28="",I28=""),"",((G28*J28)+(H28*K28))/1000000)</f>
        <v/>
      </c>
      <c r="O28" s="68">
        <f>IF(N28="","",N28*(1+L28)*M28)</f>
        <v/>
      </c>
      <c r="P28" s="68">
        <f>IF(OR(D28="",O28=""),"",D28*O28)</f>
        <v/>
      </c>
      <c r="Q28" s="76">
        <f>IF(OR(P28="",F28=""),"",P28*F28)</f>
        <v/>
      </c>
      <c r="R28" s="68" t="n"/>
      <c r="S28" s="69">
        <f>IF(R28="","",IF(O28=0,"",R28/O28-1))</f>
        <v/>
      </c>
      <c r="T28" s="70" t="n"/>
      <c r="U28" s="70" t="n"/>
      <c r="V28" s="70">
        <f>IF(A28="","",TEXTJOIN("; ",TRUE,IF(B28="","Missing operating area",""),IF(E28="","Missing cadence",""),IF(I28="","Missing model",""),IF(D28="","Missing volume",""),IF(G28="","Missing input tokens",""),IF(M28="","Missing QA multiplier",""),IF(T28="","Missing assumption notes","")))</f>
        <v/>
      </c>
      <c r="W28" s="3" t="n"/>
      <c r="X28" s="3" t="n"/>
      <c r="Y28" s="3" t="n"/>
      <c r="Z28" s="3" t="n"/>
    </row>
    <row r="29" ht="37.5" customHeight="1" s="88">
      <c r="A29" s="77" t="n"/>
      <c r="B29" s="77" t="n"/>
      <c r="C29" s="77" t="n"/>
      <c r="D29" s="78" t="n"/>
      <c r="E29" s="79" t="n"/>
      <c r="F29" s="78">
        <f t="array" ref="F29">IFERROR(XLOOKUP(E29,'Cadence Reference'!$A$5:$A$12,'Cadence Reference'!$B$5:$B$12),"")</f>
        <v/>
      </c>
      <c r="G29" s="78" t="n"/>
      <c r="H29" s="78" t="n"/>
      <c r="I29" s="80" t="n"/>
      <c r="J29" s="81">
        <f t="array" ref="J29">IFERROR(XLOOKUP(I29,'Pricing Reference'!$B$5:$B$12,'Pricing Reference'!$D$5:$D$12),"")</f>
        <v/>
      </c>
      <c r="K29" s="81">
        <f t="array" ref="K29">IFERROR(XLOOKUP(I29,'Pricing Reference'!$B$5:$B$12,'Pricing Reference'!$E$5:$E$12),"")</f>
        <v/>
      </c>
      <c r="L29" s="60" t="n"/>
      <c r="M29" s="82" t="n"/>
      <c r="N29" s="59">
        <f>IF(OR(G29="",I29=""),"",((G29*J29)+(H29*K29))/1000000)</f>
        <v/>
      </c>
      <c r="O29" s="59">
        <f>IF(N29="","",N29*(1+L29)*M29)</f>
        <v/>
      </c>
      <c r="P29" s="59">
        <f>IF(OR(D29="",O29=""),"",D29*O29)</f>
        <v/>
      </c>
      <c r="Q29" s="83">
        <f>IF(OR(P29="",F29=""),"",P29*F29)</f>
        <v/>
      </c>
      <c r="R29" s="59" t="n"/>
      <c r="S29" s="60">
        <f>IF(R29="","",IF(O29=0,"",R29/O29-1))</f>
        <v/>
      </c>
      <c r="T29" s="77" t="n"/>
      <c r="U29" s="77" t="n"/>
      <c r="V29" s="77">
        <f>IF(A29="","",TEXTJOIN("; ",TRUE,IF(B29="","Missing operating area",""),IF(E29="","Missing cadence",""),IF(I29="","Missing model",""),IF(D29="","Missing volume",""),IF(G29="","Missing input tokens",""),IF(M29="","Missing QA multiplier",""),IF(T29="","Missing assumption notes","")))</f>
        <v/>
      </c>
      <c r="W29" s="3" t="n"/>
      <c r="X29" s="3" t="n"/>
      <c r="Y29" s="3" t="n"/>
      <c r="Z29" s="3" t="n"/>
    </row>
    <row r="30" ht="37.5" customHeight="1" s="88">
      <c r="A30" s="70" t="n"/>
      <c r="B30" s="70" t="n"/>
      <c r="C30" s="70" t="n"/>
      <c r="D30" s="71" t="n"/>
      <c r="E30" s="72" t="n"/>
      <c r="F30" s="71">
        <f t="array" ref="F30">IFERROR(XLOOKUP(E30,'Cadence Reference'!$A$5:$A$12,'Cadence Reference'!$B$5:$B$12),"")</f>
        <v/>
      </c>
      <c r="G30" s="71" t="n"/>
      <c r="H30" s="71" t="n"/>
      <c r="I30" s="73" t="n"/>
      <c r="J30" s="74">
        <f t="array" ref="J30">IFERROR(XLOOKUP(I30,'Pricing Reference'!$B$5:$B$12,'Pricing Reference'!$D$5:$D$12),"")</f>
        <v/>
      </c>
      <c r="K30" s="74">
        <f t="array" ref="K30">IFERROR(XLOOKUP(I30,'Pricing Reference'!$B$5:$B$12,'Pricing Reference'!$E$5:$E$12),"")</f>
        <v/>
      </c>
      <c r="L30" s="69" t="n"/>
      <c r="M30" s="75" t="n"/>
      <c r="N30" s="68">
        <f>IF(OR(G30="",I30=""),"",((G30*J30)+(H30*K30))/1000000)</f>
        <v/>
      </c>
      <c r="O30" s="68">
        <f>IF(N30="","",N30*(1+L30)*M30)</f>
        <v/>
      </c>
      <c r="P30" s="68">
        <f>IF(OR(D30="",O30=""),"",D30*O30)</f>
        <v/>
      </c>
      <c r="Q30" s="76">
        <f>IF(OR(P30="",F30=""),"",P30*F30)</f>
        <v/>
      </c>
      <c r="R30" s="68" t="n"/>
      <c r="S30" s="69">
        <f>IF(R30="","",IF(O30=0,"",R30/O30-1))</f>
        <v/>
      </c>
      <c r="T30" s="70" t="n"/>
      <c r="U30" s="70" t="n"/>
      <c r="V30" s="70">
        <f>IF(A30="","",TEXTJOIN("; ",TRUE,IF(B30="","Missing operating area",""),IF(E30="","Missing cadence",""),IF(I30="","Missing model",""),IF(D30="","Missing volume",""),IF(G30="","Missing input tokens",""),IF(M30="","Missing QA multiplier",""),IF(T30="","Missing assumption notes","")))</f>
        <v/>
      </c>
      <c r="W30" s="3" t="n"/>
      <c r="X30" s="3" t="n"/>
      <c r="Y30" s="3" t="n"/>
      <c r="Z30" s="3" t="n"/>
    </row>
    <row r="31" ht="37.5" customHeight="1" s="88">
      <c r="A31" s="77" t="n"/>
      <c r="B31" s="77" t="n"/>
      <c r="C31" s="77" t="n"/>
      <c r="D31" s="78" t="n"/>
      <c r="E31" s="79" t="n"/>
      <c r="F31" s="78">
        <f t="array" ref="F31">IFERROR(XLOOKUP(E31,'Cadence Reference'!$A$5:$A$12,'Cadence Reference'!$B$5:$B$12),"")</f>
        <v/>
      </c>
      <c r="G31" s="78" t="n"/>
      <c r="H31" s="78" t="n"/>
      <c r="I31" s="80" t="n"/>
      <c r="J31" s="81">
        <f t="array" ref="J31">IFERROR(XLOOKUP(I31,'Pricing Reference'!$B$5:$B$12,'Pricing Reference'!$D$5:$D$12),"")</f>
        <v/>
      </c>
      <c r="K31" s="81">
        <f t="array" ref="K31">IFERROR(XLOOKUP(I31,'Pricing Reference'!$B$5:$B$12,'Pricing Reference'!$E$5:$E$12),"")</f>
        <v/>
      </c>
      <c r="L31" s="60" t="n"/>
      <c r="M31" s="82" t="n"/>
      <c r="N31" s="59">
        <f>IF(OR(G31="",I31=""),"",((G31*J31)+(H31*K31))/1000000)</f>
        <v/>
      </c>
      <c r="O31" s="59">
        <f>IF(N31="","",N31*(1+L31)*M31)</f>
        <v/>
      </c>
      <c r="P31" s="59">
        <f>IF(OR(D31="",O31=""),"",D31*O31)</f>
        <v/>
      </c>
      <c r="Q31" s="83">
        <f>IF(OR(P31="",F31=""),"",P31*F31)</f>
        <v/>
      </c>
      <c r="R31" s="59" t="n"/>
      <c r="S31" s="60">
        <f>IF(R31="","",IF(O31=0,"",R31/O31-1))</f>
        <v/>
      </c>
      <c r="T31" s="77" t="n"/>
      <c r="U31" s="77" t="n"/>
      <c r="V31" s="77">
        <f>IF(A31="","",TEXTJOIN("; ",TRUE,IF(B31="","Missing operating area",""),IF(E31="","Missing cadence",""),IF(I31="","Missing model",""),IF(D31="","Missing volume",""),IF(G31="","Missing input tokens",""),IF(M31="","Missing QA multiplier",""),IF(T31="","Missing assumption notes","")))</f>
        <v/>
      </c>
      <c r="W31" s="3" t="n"/>
      <c r="X31" s="3" t="n"/>
      <c r="Y31" s="3" t="n"/>
      <c r="Z31" s="3" t="n"/>
    </row>
    <row r="32" ht="37.5" customHeight="1" s="88">
      <c r="A32" s="70" t="n"/>
      <c r="B32" s="70" t="n"/>
      <c r="C32" s="70" t="n"/>
      <c r="D32" s="71" t="n"/>
      <c r="E32" s="72" t="n"/>
      <c r="F32" s="71">
        <f t="array" ref="F32">IFERROR(XLOOKUP(E32,'Cadence Reference'!$A$5:$A$12,'Cadence Reference'!$B$5:$B$12),"")</f>
        <v/>
      </c>
      <c r="G32" s="71" t="n"/>
      <c r="H32" s="71" t="n"/>
      <c r="I32" s="73" t="n"/>
      <c r="J32" s="74">
        <f t="array" ref="J32">IFERROR(XLOOKUP(I32,'Pricing Reference'!$B$5:$B$12,'Pricing Reference'!$D$5:$D$12),"")</f>
        <v/>
      </c>
      <c r="K32" s="74">
        <f t="array" ref="K32">IFERROR(XLOOKUP(I32,'Pricing Reference'!$B$5:$B$12,'Pricing Reference'!$E$5:$E$12),"")</f>
        <v/>
      </c>
      <c r="L32" s="69" t="n"/>
      <c r="M32" s="75" t="n"/>
      <c r="N32" s="68">
        <f>IF(OR(G32="",I32=""),"",((G32*J32)+(H32*K32))/1000000)</f>
        <v/>
      </c>
      <c r="O32" s="68">
        <f>IF(N32="","",N32*(1+L32)*M32)</f>
        <v/>
      </c>
      <c r="P32" s="68">
        <f>IF(OR(D32="",O32=""),"",D32*O32)</f>
        <v/>
      </c>
      <c r="Q32" s="76">
        <f>IF(OR(P32="",F32=""),"",P32*F32)</f>
        <v/>
      </c>
      <c r="R32" s="68" t="n"/>
      <c r="S32" s="69">
        <f>IF(R32="","",IF(O32=0,"",R32/O32-1))</f>
        <v/>
      </c>
      <c r="T32" s="70" t="n"/>
      <c r="U32" s="70" t="n"/>
      <c r="V32" s="70">
        <f>IF(A32="","",TEXTJOIN("; ",TRUE,IF(B32="","Missing operating area",""),IF(E32="","Missing cadence",""),IF(I32="","Missing model",""),IF(D32="","Missing volume",""),IF(G32="","Missing input tokens",""),IF(M32="","Missing QA multiplier",""),IF(T32="","Missing assumption notes","")))</f>
        <v/>
      </c>
      <c r="W32" s="3" t="n"/>
      <c r="X32" s="3" t="n"/>
      <c r="Y32" s="3" t="n"/>
      <c r="Z32" s="3" t="n"/>
    </row>
    <row r="33" ht="37.5" customHeight="1" s="88">
      <c r="A33" s="77" t="n"/>
      <c r="B33" s="77" t="n"/>
      <c r="C33" s="77" t="n"/>
      <c r="D33" s="78" t="n"/>
      <c r="E33" s="79" t="n"/>
      <c r="F33" s="78">
        <f t="array" ref="F33">IFERROR(XLOOKUP(E33,'Cadence Reference'!$A$5:$A$12,'Cadence Reference'!$B$5:$B$12),"")</f>
        <v/>
      </c>
      <c r="G33" s="78" t="n"/>
      <c r="H33" s="78" t="n"/>
      <c r="I33" s="80" t="n"/>
      <c r="J33" s="81">
        <f t="array" ref="J33">IFERROR(XLOOKUP(I33,'Pricing Reference'!$B$5:$B$12,'Pricing Reference'!$D$5:$D$12),"")</f>
        <v/>
      </c>
      <c r="K33" s="81">
        <f t="array" ref="K33">IFERROR(XLOOKUP(I33,'Pricing Reference'!$B$5:$B$12,'Pricing Reference'!$E$5:$E$12),"")</f>
        <v/>
      </c>
      <c r="L33" s="60" t="n"/>
      <c r="M33" s="82" t="n"/>
      <c r="N33" s="59">
        <f>IF(OR(G33="",I33=""),"",((G33*J33)+(H33*K33))/1000000)</f>
        <v/>
      </c>
      <c r="O33" s="59">
        <f>IF(N33="","",N33*(1+L33)*M33)</f>
        <v/>
      </c>
      <c r="P33" s="59">
        <f>IF(OR(D33="",O33=""),"",D33*O33)</f>
        <v/>
      </c>
      <c r="Q33" s="83">
        <f>IF(OR(P33="",F33=""),"",P33*F33)</f>
        <v/>
      </c>
      <c r="R33" s="59" t="n"/>
      <c r="S33" s="60">
        <f>IF(R33="","",IF(O33=0,"",R33/O33-1))</f>
        <v/>
      </c>
      <c r="T33" s="77" t="n"/>
      <c r="U33" s="77" t="n"/>
      <c r="V33" s="77">
        <f>IF(A33="","",TEXTJOIN("; ",TRUE,IF(B33="","Missing operating area",""),IF(E33="","Missing cadence",""),IF(I33="","Missing model",""),IF(D33="","Missing volume",""),IF(G33="","Missing input tokens",""),IF(M33="","Missing QA multiplier",""),IF(T33="","Missing assumption notes","")))</f>
        <v/>
      </c>
      <c r="W33" s="3" t="n"/>
      <c r="X33" s="3" t="n"/>
      <c r="Y33" s="3" t="n"/>
      <c r="Z33" s="3" t="n"/>
    </row>
    <row r="34" ht="37.5" customHeight="1" s="88">
      <c r="A34" s="70" t="n"/>
      <c r="B34" s="70" t="n"/>
      <c r="C34" s="70" t="n"/>
      <c r="D34" s="71" t="n"/>
      <c r="E34" s="72" t="n"/>
      <c r="F34" s="71">
        <f t="array" ref="F34">IFERROR(XLOOKUP(E34,'Cadence Reference'!$A$5:$A$12,'Cadence Reference'!$B$5:$B$12),"")</f>
        <v/>
      </c>
      <c r="G34" s="71" t="n"/>
      <c r="H34" s="71" t="n"/>
      <c r="I34" s="73" t="n"/>
      <c r="J34" s="74">
        <f t="array" ref="J34">IFERROR(XLOOKUP(I34,'Pricing Reference'!$B$5:$B$12,'Pricing Reference'!$D$5:$D$12),"")</f>
        <v/>
      </c>
      <c r="K34" s="74">
        <f t="array" ref="K34">IFERROR(XLOOKUP(I34,'Pricing Reference'!$B$5:$B$12,'Pricing Reference'!$E$5:$E$12),"")</f>
        <v/>
      </c>
      <c r="L34" s="69" t="n"/>
      <c r="M34" s="75" t="n"/>
      <c r="N34" s="68">
        <f>IF(OR(G34="",I34=""),"",((G34*J34)+(H34*K34))/1000000)</f>
        <v/>
      </c>
      <c r="O34" s="68">
        <f>IF(N34="","",N34*(1+L34)*M34)</f>
        <v/>
      </c>
      <c r="P34" s="68">
        <f>IF(OR(D34="",O34=""),"",D34*O34)</f>
        <v/>
      </c>
      <c r="Q34" s="76">
        <f>IF(OR(P34="",F34=""),"",P34*F34)</f>
        <v/>
      </c>
      <c r="R34" s="68" t="n"/>
      <c r="S34" s="69">
        <f>IF(R34="","",IF(O34=0,"",R34/O34-1))</f>
        <v/>
      </c>
      <c r="T34" s="70" t="n"/>
      <c r="U34" s="70" t="n"/>
      <c r="V34" s="70">
        <f>IF(A34="","",TEXTJOIN("; ",TRUE,IF(B34="","Missing operating area",""),IF(E34="","Missing cadence",""),IF(I34="","Missing model",""),IF(D34="","Missing volume",""),IF(G34="","Missing input tokens",""),IF(M34="","Missing QA multiplier",""),IF(T34="","Missing assumption notes","")))</f>
        <v/>
      </c>
      <c r="W34" s="3" t="n"/>
      <c r="X34" s="3" t="n"/>
      <c r="Y34" s="3" t="n"/>
      <c r="Z34" s="3" t="n"/>
    </row>
    <row r="35" ht="37.5" customHeight="1" s="88">
      <c r="A35" s="77" t="n"/>
      <c r="B35" s="77" t="n"/>
      <c r="C35" s="77" t="n"/>
      <c r="D35" s="78" t="n"/>
      <c r="E35" s="79" t="n"/>
      <c r="F35" s="78">
        <f t="array" ref="F35">IFERROR(XLOOKUP(E35,'Cadence Reference'!$A$5:$A$12,'Cadence Reference'!$B$5:$B$12),"")</f>
        <v/>
      </c>
      <c r="G35" s="78" t="n"/>
      <c r="H35" s="78" t="n"/>
      <c r="I35" s="80" t="n"/>
      <c r="J35" s="81">
        <f t="array" ref="J35">IFERROR(XLOOKUP(I35,'Pricing Reference'!$B$5:$B$12,'Pricing Reference'!$D$5:$D$12),"")</f>
        <v/>
      </c>
      <c r="K35" s="81">
        <f t="array" ref="K35">IFERROR(XLOOKUP(I35,'Pricing Reference'!$B$5:$B$12,'Pricing Reference'!$E$5:$E$12),"")</f>
        <v/>
      </c>
      <c r="L35" s="60" t="n"/>
      <c r="M35" s="82" t="n"/>
      <c r="N35" s="59">
        <f>IF(OR(G35="",I35=""),"",((G35*J35)+(H35*K35))/1000000)</f>
        <v/>
      </c>
      <c r="O35" s="59">
        <f>IF(N35="","",N35*(1+L35)*M35)</f>
        <v/>
      </c>
      <c r="P35" s="59">
        <f>IF(OR(D35="",O35=""),"",D35*O35)</f>
        <v/>
      </c>
      <c r="Q35" s="83">
        <f>IF(OR(P35="",F35=""),"",P35*F35)</f>
        <v/>
      </c>
      <c r="R35" s="59" t="n"/>
      <c r="S35" s="60">
        <f>IF(R35="","",IF(O35=0,"",R35/O35-1))</f>
        <v/>
      </c>
      <c r="T35" s="77" t="n"/>
      <c r="U35" s="77" t="n"/>
      <c r="V35" s="77">
        <f>IF(A35="","",TEXTJOIN("; ",TRUE,IF(B35="","Missing operating area",""),IF(E35="","Missing cadence",""),IF(I35="","Missing model",""),IF(D35="","Missing volume",""),IF(G35="","Missing input tokens",""),IF(M35="","Missing QA multiplier",""),IF(T35="","Missing assumption notes","")))</f>
        <v/>
      </c>
      <c r="W35" s="3" t="n"/>
      <c r="X35" s="3" t="n"/>
      <c r="Y35" s="3" t="n"/>
      <c r="Z35" s="3" t="n"/>
    </row>
    <row r="36" ht="37.5" customHeight="1" s="88">
      <c r="A36" s="70" t="n"/>
      <c r="B36" s="70" t="n"/>
      <c r="C36" s="70" t="n"/>
      <c r="D36" s="71" t="n"/>
      <c r="E36" s="72" t="n"/>
      <c r="F36" s="71">
        <f t="array" ref="F36">IFERROR(XLOOKUP(E36,'Cadence Reference'!$A$5:$A$12,'Cadence Reference'!$B$5:$B$12),"")</f>
        <v/>
      </c>
      <c r="G36" s="71" t="n"/>
      <c r="H36" s="71" t="n"/>
      <c r="I36" s="73" t="n"/>
      <c r="J36" s="74">
        <f t="array" ref="J36">IFERROR(XLOOKUP(I36,'Pricing Reference'!$B$5:$B$12,'Pricing Reference'!$D$5:$D$12),"")</f>
        <v/>
      </c>
      <c r="K36" s="74">
        <f t="array" ref="K36">IFERROR(XLOOKUP(I36,'Pricing Reference'!$B$5:$B$12,'Pricing Reference'!$E$5:$E$12),"")</f>
        <v/>
      </c>
      <c r="L36" s="69" t="n"/>
      <c r="M36" s="75" t="n"/>
      <c r="N36" s="68">
        <f>IF(OR(G36="",I36=""),"",((G36*J36)+(H36*K36))/1000000)</f>
        <v/>
      </c>
      <c r="O36" s="68">
        <f>IF(N36="","",N36*(1+L36)*M36)</f>
        <v/>
      </c>
      <c r="P36" s="68">
        <f>IF(OR(D36="",O36=""),"",D36*O36)</f>
        <v/>
      </c>
      <c r="Q36" s="76">
        <f>IF(OR(P36="",F36=""),"",P36*F36)</f>
        <v/>
      </c>
      <c r="R36" s="68" t="n"/>
      <c r="S36" s="69">
        <f>IF(R36="","",IF(O36=0,"",R36/O36-1))</f>
        <v/>
      </c>
      <c r="T36" s="70" t="n"/>
      <c r="U36" s="70" t="n"/>
      <c r="V36" s="70">
        <f>IF(A36="","",TEXTJOIN("; ",TRUE,IF(B36="","Missing operating area",""),IF(E36="","Missing cadence",""),IF(I36="","Missing model",""),IF(D36="","Missing volume",""),IF(G36="","Missing input tokens",""),IF(M36="","Missing QA multiplier",""),IF(T36="","Missing assumption notes","")))</f>
        <v/>
      </c>
      <c r="W36" s="3" t="n"/>
      <c r="X36" s="3" t="n"/>
      <c r="Y36" s="3" t="n"/>
      <c r="Z36" s="3" t="n"/>
    </row>
    <row r="37" ht="37.5" customHeight="1" s="88">
      <c r="A37" s="77" t="n"/>
      <c r="B37" s="77" t="n"/>
      <c r="C37" s="77" t="n"/>
      <c r="D37" s="78" t="n"/>
      <c r="E37" s="79" t="n"/>
      <c r="F37" s="78">
        <f t="array" ref="F37">IFERROR(XLOOKUP(E37,'Cadence Reference'!$A$5:$A$12,'Cadence Reference'!$B$5:$B$12),"")</f>
        <v/>
      </c>
      <c r="G37" s="78" t="n"/>
      <c r="H37" s="78" t="n"/>
      <c r="I37" s="80" t="n"/>
      <c r="J37" s="81">
        <f t="array" ref="J37">IFERROR(XLOOKUP(I37,'Pricing Reference'!$B$5:$B$12,'Pricing Reference'!$D$5:$D$12),"")</f>
        <v/>
      </c>
      <c r="K37" s="81">
        <f t="array" ref="K37">IFERROR(XLOOKUP(I37,'Pricing Reference'!$B$5:$B$12,'Pricing Reference'!$E$5:$E$12),"")</f>
        <v/>
      </c>
      <c r="L37" s="60" t="n"/>
      <c r="M37" s="82" t="n"/>
      <c r="N37" s="59">
        <f>IF(OR(G37="",I37=""),"",((G37*J37)+(H37*K37))/1000000)</f>
        <v/>
      </c>
      <c r="O37" s="59">
        <f>IF(N37="","",N37*(1+L37)*M37)</f>
        <v/>
      </c>
      <c r="P37" s="59">
        <f>IF(OR(D37="",O37=""),"",D37*O37)</f>
        <v/>
      </c>
      <c r="Q37" s="83">
        <f>IF(OR(P37="",F37=""),"",P37*F37)</f>
        <v/>
      </c>
      <c r="R37" s="59" t="n"/>
      <c r="S37" s="60">
        <f>IF(R37="","",IF(O37=0,"",R37/O37-1))</f>
        <v/>
      </c>
      <c r="T37" s="77" t="n"/>
      <c r="U37" s="77" t="n"/>
      <c r="V37" s="77">
        <f>IF(A37="","",TEXTJOIN("; ",TRUE,IF(B37="","Missing operating area",""),IF(E37="","Missing cadence",""),IF(I37="","Missing model",""),IF(D37="","Missing volume",""),IF(G37="","Missing input tokens",""),IF(M37="","Missing QA multiplier",""),IF(T37="","Missing assumption notes","")))</f>
        <v/>
      </c>
      <c r="W37" s="3" t="n"/>
      <c r="X37" s="3" t="n"/>
      <c r="Y37" s="3" t="n"/>
      <c r="Z37" s="3" t="n"/>
    </row>
    <row r="38" ht="37.5" customHeight="1" s="88">
      <c r="A38" s="70" t="n"/>
      <c r="B38" s="70" t="n"/>
      <c r="C38" s="70" t="n"/>
      <c r="D38" s="71" t="n"/>
      <c r="E38" s="72" t="n"/>
      <c r="F38" s="71">
        <f t="array" ref="F38">IFERROR(XLOOKUP(E38,'Cadence Reference'!$A$5:$A$12,'Cadence Reference'!$B$5:$B$12),"")</f>
        <v/>
      </c>
      <c r="G38" s="71" t="n"/>
      <c r="H38" s="71" t="n"/>
      <c r="I38" s="73" t="n"/>
      <c r="J38" s="74">
        <f t="array" ref="J38">IFERROR(XLOOKUP(I38,'Pricing Reference'!$B$5:$B$12,'Pricing Reference'!$D$5:$D$12),"")</f>
        <v/>
      </c>
      <c r="K38" s="74">
        <f t="array" ref="K38">IFERROR(XLOOKUP(I38,'Pricing Reference'!$B$5:$B$12,'Pricing Reference'!$E$5:$E$12),"")</f>
        <v/>
      </c>
      <c r="L38" s="69" t="n"/>
      <c r="M38" s="75" t="n"/>
      <c r="N38" s="68">
        <f>IF(OR(G38="",I38=""),"",((G38*J38)+(H38*K38))/1000000)</f>
        <v/>
      </c>
      <c r="O38" s="68">
        <f>IF(N38="","",N38*(1+L38)*M38)</f>
        <v/>
      </c>
      <c r="P38" s="68">
        <f>IF(OR(D38="",O38=""),"",D38*O38)</f>
        <v/>
      </c>
      <c r="Q38" s="76">
        <f>IF(OR(P38="",F38=""),"",P38*F38)</f>
        <v/>
      </c>
      <c r="R38" s="68" t="n"/>
      <c r="S38" s="69">
        <f>IF(R38="","",IF(O38=0,"",R38/O38-1))</f>
        <v/>
      </c>
      <c r="T38" s="70" t="n"/>
      <c r="U38" s="70" t="n"/>
      <c r="V38" s="70">
        <f>IF(A38="","",TEXTJOIN("; ",TRUE,IF(B38="","Missing operating area",""),IF(E38="","Missing cadence",""),IF(I38="","Missing model",""),IF(D38="","Missing volume",""),IF(G38="","Missing input tokens",""),IF(M38="","Missing QA multiplier",""),IF(T38="","Missing assumption notes","")))</f>
        <v/>
      </c>
      <c r="W38" s="3" t="n"/>
      <c r="X38" s="3" t="n"/>
      <c r="Y38" s="3" t="n"/>
      <c r="Z38" s="3" t="n"/>
    </row>
    <row r="39" ht="37.5" customHeight="1" s="88">
      <c r="A39" s="77" t="n"/>
      <c r="B39" s="77" t="n"/>
      <c r="C39" s="77" t="n"/>
      <c r="D39" s="78" t="n"/>
      <c r="E39" s="79" t="n"/>
      <c r="F39" s="78">
        <f t="array" ref="F39">IFERROR(XLOOKUP(E39,'Cadence Reference'!$A$5:$A$12,'Cadence Reference'!$B$5:$B$12),"")</f>
        <v/>
      </c>
      <c r="G39" s="78" t="n"/>
      <c r="H39" s="78" t="n"/>
      <c r="I39" s="80" t="n"/>
      <c r="J39" s="81">
        <f t="array" ref="J39">IFERROR(XLOOKUP(I39,'Pricing Reference'!$B$5:$B$12,'Pricing Reference'!$D$5:$D$12),"")</f>
        <v/>
      </c>
      <c r="K39" s="81">
        <f t="array" ref="K39">IFERROR(XLOOKUP(I39,'Pricing Reference'!$B$5:$B$12,'Pricing Reference'!$E$5:$E$12),"")</f>
        <v/>
      </c>
      <c r="L39" s="60" t="n"/>
      <c r="M39" s="82" t="n"/>
      <c r="N39" s="59">
        <f>IF(OR(G39="",I39=""),"",((G39*J39)+(H39*K39))/1000000)</f>
        <v/>
      </c>
      <c r="O39" s="59">
        <f>IF(N39="","",N39*(1+L39)*M39)</f>
        <v/>
      </c>
      <c r="P39" s="59">
        <f>IF(OR(D39="",O39=""),"",D39*O39)</f>
        <v/>
      </c>
      <c r="Q39" s="83">
        <f>IF(OR(P39="",F39=""),"",P39*F39)</f>
        <v/>
      </c>
      <c r="R39" s="59" t="n"/>
      <c r="S39" s="60">
        <f>IF(R39="","",IF(O39=0,"",R39/O39-1))</f>
        <v/>
      </c>
      <c r="T39" s="77" t="n"/>
      <c r="U39" s="77" t="n"/>
      <c r="V39" s="77">
        <f>IF(A39="","",TEXTJOIN("; ",TRUE,IF(B39="","Missing operating area",""),IF(E39="","Missing cadence",""),IF(I39="","Missing model",""),IF(D39="","Missing volume",""),IF(G39="","Missing input tokens",""),IF(M39="","Missing QA multiplier",""),IF(T39="","Missing assumption notes","")))</f>
        <v/>
      </c>
      <c r="W39" s="3" t="n"/>
      <c r="X39" s="3" t="n"/>
      <c r="Y39" s="3" t="n"/>
      <c r="Z39" s="3" t="n"/>
    </row>
    <row r="40" ht="37.5" customHeight="1" s="88">
      <c r="A40" s="70" t="n"/>
      <c r="B40" s="70" t="n"/>
      <c r="C40" s="70" t="n"/>
      <c r="D40" s="71" t="n"/>
      <c r="E40" s="72" t="n"/>
      <c r="F40" s="71">
        <f t="array" ref="F40">IFERROR(XLOOKUP(E40,'Cadence Reference'!$A$5:$A$12,'Cadence Reference'!$B$5:$B$12),"")</f>
        <v/>
      </c>
      <c r="G40" s="71" t="n"/>
      <c r="H40" s="71" t="n"/>
      <c r="I40" s="73" t="n"/>
      <c r="J40" s="74">
        <f t="array" ref="J40">IFERROR(XLOOKUP(I40,'Pricing Reference'!$B$5:$B$12,'Pricing Reference'!$D$5:$D$12),"")</f>
        <v/>
      </c>
      <c r="K40" s="74">
        <f t="array" ref="K40">IFERROR(XLOOKUP(I40,'Pricing Reference'!$B$5:$B$12,'Pricing Reference'!$E$5:$E$12),"")</f>
        <v/>
      </c>
      <c r="L40" s="69" t="n"/>
      <c r="M40" s="75" t="n"/>
      <c r="N40" s="68">
        <f>IF(OR(G40="",I40=""),"",((G40*J40)+(H40*K40))/1000000)</f>
        <v/>
      </c>
      <c r="O40" s="68">
        <f>IF(N40="","",N40*(1+L40)*M40)</f>
        <v/>
      </c>
      <c r="P40" s="68">
        <f>IF(OR(D40="",O40=""),"",D40*O40)</f>
        <v/>
      </c>
      <c r="Q40" s="76">
        <f>IF(OR(P40="",F40=""),"",P40*F40)</f>
        <v/>
      </c>
      <c r="R40" s="68" t="n"/>
      <c r="S40" s="69">
        <f>IF(R40="","",IF(O40=0,"",R40/O40-1))</f>
        <v/>
      </c>
      <c r="T40" s="70" t="n"/>
      <c r="U40" s="70" t="n"/>
      <c r="V40" s="70">
        <f>IF(A40="","",TEXTJOIN("; ",TRUE,IF(B40="","Missing operating area",""),IF(E40="","Missing cadence",""),IF(I40="","Missing model",""),IF(D40="","Missing volume",""),IF(G40="","Missing input tokens",""),IF(M40="","Missing QA multiplier",""),IF(T40="","Missing assumption notes","")))</f>
        <v/>
      </c>
      <c r="W40" s="3" t="n"/>
      <c r="X40" s="3" t="n"/>
      <c r="Y40" s="3" t="n"/>
      <c r="Z40" s="3" t="n"/>
    </row>
    <row r="41" ht="37.5" customHeight="1" s="88">
      <c r="A41" s="77" t="n"/>
      <c r="B41" s="77" t="n"/>
      <c r="C41" s="77" t="n"/>
      <c r="D41" s="78" t="n"/>
      <c r="E41" s="79" t="n"/>
      <c r="F41" s="78">
        <f t="array" ref="F41">IFERROR(XLOOKUP(E41,'Cadence Reference'!$A$5:$A$12,'Cadence Reference'!$B$5:$B$12),"")</f>
        <v/>
      </c>
      <c r="G41" s="78" t="n"/>
      <c r="H41" s="78" t="n"/>
      <c r="I41" s="80" t="n"/>
      <c r="J41" s="81">
        <f t="array" ref="J41">IFERROR(XLOOKUP(I41,'Pricing Reference'!$B$5:$B$12,'Pricing Reference'!$D$5:$D$12),"")</f>
        <v/>
      </c>
      <c r="K41" s="81">
        <f t="array" ref="K41">IFERROR(XLOOKUP(I41,'Pricing Reference'!$B$5:$B$12,'Pricing Reference'!$E$5:$E$12),"")</f>
        <v/>
      </c>
      <c r="L41" s="60" t="n"/>
      <c r="M41" s="82" t="n"/>
      <c r="N41" s="59">
        <f>IF(OR(G41="",I41=""),"",((G41*J41)+(H41*K41))/1000000)</f>
        <v/>
      </c>
      <c r="O41" s="59">
        <f>IF(N41="","",N41*(1+L41)*M41)</f>
        <v/>
      </c>
      <c r="P41" s="59">
        <f>IF(OR(D41="",O41=""),"",D41*O41)</f>
        <v/>
      </c>
      <c r="Q41" s="83">
        <f>IF(OR(P41="",F41=""),"",P41*F41)</f>
        <v/>
      </c>
      <c r="R41" s="59" t="n"/>
      <c r="S41" s="60">
        <f>IF(R41="","",IF(O41=0,"",R41/O41-1))</f>
        <v/>
      </c>
      <c r="T41" s="77" t="n"/>
      <c r="U41" s="77" t="n"/>
      <c r="V41" s="77">
        <f>IF(A41="","",TEXTJOIN("; ",TRUE,IF(B41="","Missing operating area",""),IF(E41="","Missing cadence",""),IF(I41="","Missing model",""),IF(D41="","Missing volume",""),IF(G41="","Missing input tokens",""),IF(M41="","Missing QA multiplier",""),IF(T41="","Missing assumption notes","")))</f>
        <v/>
      </c>
      <c r="W41" s="3" t="n"/>
      <c r="X41" s="3" t="n"/>
      <c r="Y41" s="3" t="n"/>
      <c r="Z41" s="3" t="n"/>
    </row>
    <row r="42" ht="37.5" customHeight="1" s="88">
      <c r="A42" s="70" t="n"/>
      <c r="B42" s="70" t="n"/>
      <c r="C42" s="70" t="n"/>
      <c r="D42" s="71" t="n"/>
      <c r="E42" s="72" t="n"/>
      <c r="F42" s="71">
        <f t="array" ref="F42">IFERROR(XLOOKUP(E42,'Cadence Reference'!$A$5:$A$12,'Cadence Reference'!$B$5:$B$12),"")</f>
        <v/>
      </c>
      <c r="G42" s="71" t="n"/>
      <c r="H42" s="71" t="n"/>
      <c r="I42" s="73" t="n"/>
      <c r="J42" s="74">
        <f t="array" ref="J42">IFERROR(XLOOKUP(I42,'Pricing Reference'!$B$5:$B$12,'Pricing Reference'!$D$5:$D$12),"")</f>
        <v/>
      </c>
      <c r="K42" s="74">
        <f t="array" ref="K42">IFERROR(XLOOKUP(I42,'Pricing Reference'!$B$5:$B$12,'Pricing Reference'!$E$5:$E$12),"")</f>
        <v/>
      </c>
      <c r="L42" s="69" t="n"/>
      <c r="M42" s="75" t="n"/>
      <c r="N42" s="68">
        <f>IF(OR(G42="",I42=""),"",((G42*J42)+(H42*K42))/1000000)</f>
        <v/>
      </c>
      <c r="O42" s="68">
        <f>IF(N42="","",N42*(1+L42)*M42)</f>
        <v/>
      </c>
      <c r="P42" s="68">
        <f>IF(OR(D42="",O42=""),"",D42*O42)</f>
        <v/>
      </c>
      <c r="Q42" s="76">
        <f>IF(OR(P42="",F42=""),"",P42*F42)</f>
        <v/>
      </c>
      <c r="R42" s="68" t="n"/>
      <c r="S42" s="69">
        <f>IF(R42="","",IF(O42=0,"",R42/O42-1))</f>
        <v/>
      </c>
      <c r="T42" s="70" t="n"/>
      <c r="U42" s="70" t="n"/>
      <c r="V42" s="70">
        <f>IF(A42="","",TEXTJOIN("; ",TRUE,IF(B42="","Missing operating area",""),IF(E42="","Missing cadence",""),IF(I42="","Missing model",""),IF(D42="","Missing volume",""),IF(G42="","Missing input tokens",""),IF(M42="","Missing QA multiplier",""),IF(T42="","Missing assumption notes","")))</f>
        <v/>
      </c>
      <c r="W42" s="3" t="n"/>
      <c r="X42" s="3" t="n"/>
      <c r="Y42" s="3" t="n"/>
      <c r="Z42" s="3" t="n"/>
    </row>
    <row r="43" ht="37.5" customHeight="1" s="88">
      <c r="A43" s="77" t="n"/>
      <c r="B43" s="77" t="n"/>
      <c r="C43" s="77" t="n"/>
      <c r="D43" s="78" t="n"/>
      <c r="E43" s="79" t="n"/>
      <c r="F43" s="78">
        <f t="array" ref="F43">IFERROR(XLOOKUP(E43,'Cadence Reference'!$A$5:$A$12,'Cadence Reference'!$B$5:$B$12),"")</f>
        <v/>
      </c>
      <c r="G43" s="78" t="n"/>
      <c r="H43" s="78" t="n"/>
      <c r="I43" s="80" t="n"/>
      <c r="J43" s="81">
        <f t="array" ref="J43">IFERROR(XLOOKUP(I43,'Pricing Reference'!$B$5:$B$12,'Pricing Reference'!$D$5:$D$12),"")</f>
        <v/>
      </c>
      <c r="K43" s="81">
        <f t="array" ref="K43">IFERROR(XLOOKUP(I43,'Pricing Reference'!$B$5:$B$12,'Pricing Reference'!$E$5:$E$12),"")</f>
        <v/>
      </c>
      <c r="L43" s="60" t="n"/>
      <c r="M43" s="82" t="n"/>
      <c r="N43" s="59">
        <f>IF(OR(G43="",I43=""),"",((G43*J43)+(H43*K43))/1000000)</f>
        <v/>
      </c>
      <c r="O43" s="59">
        <f>IF(N43="","",N43*(1+L43)*M43)</f>
        <v/>
      </c>
      <c r="P43" s="59">
        <f>IF(OR(D43="",O43=""),"",D43*O43)</f>
        <v/>
      </c>
      <c r="Q43" s="83">
        <f>IF(OR(P43="",F43=""),"",P43*F43)</f>
        <v/>
      </c>
      <c r="R43" s="59" t="n"/>
      <c r="S43" s="60">
        <f>IF(R43="","",IF(O43=0,"",R43/O43-1))</f>
        <v/>
      </c>
      <c r="T43" s="77" t="n"/>
      <c r="U43" s="77" t="n"/>
      <c r="V43" s="77">
        <f>IF(A43="","",TEXTJOIN("; ",TRUE,IF(B43="","Missing operating area",""),IF(E43="","Missing cadence",""),IF(I43="","Missing model",""),IF(D43="","Missing volume",""),IF(G43="","Missing input tokens",""),IF(M43="","Missing QA multiplier",""),IF(T43="","Missing assumption notes","")))</f>
        <v/>
      </c>
      <c r="W43" s="3" t="n"/>
      <c r="X43" s="3" t="n"/>
      <c r="Y43" s="3" t="n"/>
      <c r="Z43" s="3" t="n"/>
    </row>
    <row r="44" ht="37.5" customHeight="1" s="88">
      <c r="A44" s="70" t="n"/>
      <c r="B44" s="70" t="n"/>
      <c r="C44" s="70" t="n"/>
      <c r="D44" s="71" t="n"/>
      <c r="E44" s="72" t="n"/>
      <c r="F44" s="71">
        <f t="array" ref="F44">IFERROR(XLOOKUP(E44,'Cadence Reference'!$A$5:$A$12,'Cadence Reference'!$B$5:$B$12),"")</f>
        <v/>
      </c>
      <c r="G44" s="71" t="n"/>
      <c r="H44" s="71" t="n"/>
      <c r="I44" s="73" t="n"/>
      <c r="J44" s="74">
        <f t="array" ref="J44">IFERROR(XLOOKUP(I44,'Pricing Reference'!$B$5:$B$12,'Pricing Reference'!$D$5:$D$12),"")</f>
        <v/>
      </c>
      <c r="K44" s="74">
        <f t="array" ref="K44">IFERROR(XLOOKUP(I44,'Pricing Reference'!$B$5:$B$12,'Pricing Reference'!$E$5:$E$12),"")</f>
        <v/>
      </c>
      <c r="L44" s="69" t="n"/>
      <c r="M44" s="75" t="n"/>
      <c r="N44" s="68">
        <f>IF(OR(G44="",I44=""),"",((G44*J44)+(H44*K44))/1000000)</f>
        <v/>
      </c>
      <c r="O44" s="68">
        <f>IF(N44="","",N44*(1+L44)*M44)</f>
        <v/>
      </c>
      <c r="P44" s="68">
        <f>IF(OR(D44="",O44=""),"",D44*O44)</f>
        <v/>
      </c>
      <c r="Q44" s="76">
        <f>IF(OR(P44="",F44=""),"",P44*F44)</f>
        <v/>
      </c>
      <c r="R44" s="68" t="n"/>
      <c r="S44" s="69">
        <f>IF(R44="","",IF(O44=0,"",R44/O44-1))</f>
        <v/>
      </c>
      <c r="T44" s="70" t="n"/>
      <c r="U44" s="70" t="n"/>
      <c r="V44" s="70">
        <f>IF(A44="","",TEXTJOIN("; ",TRUE,IF(B44="","Missing operating area",""),IF(E44="","Missing cadence",""),IF(I44="","Missing model",""),IF(D44="","Missing volume",""),IF(G44="","Missing input tokens",""),IF(M44="","Missing QA multiplier",""),IF(T44="","Missing assumption notes","")))</f>
        <v/>
      </c>
      <c r="W44" s="3" t="n"/>
      <c r="X44" s="3" t="n"/>
      <c r="Y44" s="3" t="n"/>
      <c r="Z44" s="3" t="n"/>
    </row>
    <row r="45" ht="37.5" customHeight="1" s="88">
      <c r="A45" s="77" t="n"/>
      <c r="B45" s="77" t="n"/>
      <c r="C45" s="77" t="n"/>
      <c r="D45" s="78" t="n"/>
      <c r="E45" s="79" t="n"/>
      <c r="F45" s="78">
        <f t="array" ref="F45">IFERROR(XLOOKUP(E45,'Cadence Reference'!$A$5:$A$12,'Cadence Reference'!$B$5:$B$12),"")</f>
        <v/>
      </c>
      <c r="G45" s="78" t="n"/>
      <c r="H45" s="78" t="n"/>
      <c r="I45" s="80" t="n"/>
      <c r="J45" s="81">
        <f t="array" ref="J45">IFERROR(XLOOKUP(I45,'Pricing Reference'!$B$5:$B$12,'Pricing Reference'!$D$5:$D$12),"")</f>
        <v/>
      </c>
      <c r="K45" s="81">
        <f t="array" ref="K45">IFERROR(XLOOKUP(I45,'Pricing Reference'!$B$5:$B$12,'Pricing Reference'!$E$5:$E$12),"")</f>
        <v/>
      </c>
      <c r="L45" s="60" t="n"/>
      <c r="M45" s="82" t="n"/>
      <c r="N45" s="59">
        <f>IF(OR(G45="",I45=""),"",((G45*J45)+(H45*K45))/1000000)</f>
        <v/>
      </c>
      <c r="O45" s="59">
        <f>IF(N45="","",N45*(1+L45)*M45)</f>
        <v/>
      </c>
      <c r="P45" s="59">
        <f>IF(OR(D45="",O45=""),"",D45*O45)</f>
        <v/>
      </c>
      <c r="Q45" s="83">
        <f>IF(OR(P45="",F45=""),"",P45*F45)</f>
        <v/>
      </c>
      <c r="R45" s="59" t="n"/>
      <c r="S45" s="60">
        <f>IF(R45="","",IF(O45=0,"",R45/O45-1))</f>
        <v/>
      </c>
      <c r="T45" s="77" t="n"/>
      <c r="U45" s="77" t="n"/>
      <c r="V45" s="77">
        <f>IF(A45="","",TEXTJOIN("; ",TRUE,IF(B45="","Missing operating area",""),IF(E45="","Missing cadence",""),IF(I45="","Missing model",""),IF(D45="","Missing volume",""),IF(G45="","Missing input tokens",""),IF(M45="","Missing QA multiplier",""),IF(T45="","Missing assumption notes","")))</f>
        <v/>
      </c>
      <c r="W45" s="3" t="n"/>
      <c r="X45" s="3" t="n"/>
      <c r="Y45" s="3" t="n"/>
      <c r="Z45" s="3" t="n"/>
    </row>
    <row r="46" ht="37.5" customHeight="1" s="88">
      <c r="A46" s="70" t="n"/>
      <c r="B46" s="70" t="n"/>
      <c r="C46" s="70" t="n"/>
      <c r="D46" s="71" t="n"/>
      <c r="E46" s="72" t="n"/>
      <c r="F46" s="71">
        <f t="array" ref="F46">IFERROR(XLOOKUP(E46,'Cadence Reference'!$A$5:$A$12,'Cadence Reference'!$B$5:$B$12),"")</f>
        <v/>
      </c>
      <c r="G46" s="71" t="n"/>
      <c r="H46" s="71" t="n"/>
      <c r="I46" s="73" t="n"/>
      <c r="J46" s="74">
        <f t="array" ref="J46">IFERROR(XLOOKUP(I46,'Pricing Reference'!$B$5:$B$12,'Pricing Reference'!$D$5:$D$12),"")</f>
        <v/>
      </c>
      <c r="K46" s="74">
        <f t="array" ref="K46">IFERROR(XLOOKUP(I46,'Pricing Reference'!$B$5:$B$12,'Pricing Reference'!$E$5:$E$12),"")</f>
        <v/>
      </c>
      <c r="L46" s="69" t="n"/>
      <c r="M46" s="75" t="n"/>
      <c r="N46" s="68">
        <f>IF(OR(G46="",I46=""),"",((G46*J46)+(H46*K46))/1000000)</f>
        <v/>
      </c>
      <c r="O46" s="68">
        <f>IF(N46="","",N46*(1+L46)*M46)</f>
        <v/>
      </c>
      <c r="P46" s="68">
        <f>IF(OR(D46="",O46=""),"",D46*O46)</f>
        <v/>
      </c>
      <c r="Q46" s="76">
        <f>IF(OR(P46="",F46=""),"",P46*F46)</f>
        <v/>
      </c>
      <c r="R46" s="68" t="n"/>
      <c r="S46" s="69">
        <f>IF(R46="","",IF(O46=0,"",R46/O46-1))</f>
        <v/>
      </c>
      <c r="T46" s="70" t="n"/>
      <c r="U46" s="70" t="n"/>
      <c r="V46" s="70">
        <f>IF(A46="","",TEXTJOIN("; ",TRUE,IF(B46="","Missing operating area",""),IF(E46="","Missing cadence",""),IF(I46="","Missing model",""),IF(D46="","Missing volume",""),IF(G46="","Missing input tokens",""),IF(M46="","Missing QA multiplier",""),IF(T46="","Missing assumption notes","")))</f>
        <v/>
      </c>
      <c r="W46" s="3" t="n"/>
      <c r="X46" s="3" t="n"/>
      <c r="Y46" s="3" t="n"/>
      <c r="Z46" s="3" t="n"/>
    </row>
    <row r="47" ht="37.5" customHeight="1" s="88">
      <c r="A47" s="77" t="n"/>
      <c r="B47" s="77" t="n"/>
      <c r="C47" s="77" t="n"/>
      <c r="D47" s="78" t="n"/>
      <c r="E47" s="79" t="n"/>
      <c r="F47" s="78">
        <f t="array" ref="F47">IFERROR(XLOOKUP(E47,'Cadence Reference'!$A$5:$A$12,'Cadence Reference'!$B$5:$B$12),"")</f>
        <v/>
      </c>
      <c r="G47" s="78" t="n"/>
      <c r="H47" s="78" t="n"/>
      <c r="I47" s="80" t="n"/>
      <c r="J47" s="81">
        <f t="array" ref="J47">IFERROR(XLOOKUP(I47,'Pricing Reference'!$B$5:$B$12,'Pricing Reference'!$D$5:$D$12),"")</f>
        <v/>
      </c>
      <c r="K47" s="81">
        <f t="array" ref="K47">IFERROR(XLOOKUP(I47,'Pricing Reference'!$B$5:$B$12,'Pricing Reference'!$E$5:$E$12),"")</f>
        <v/>
      </c>
      <c r="L47" s="60" t="n"/>
      <c r="M47" s="82" t="n"/>
      <c r="N47" s="59">
        <f>IF(OR(G47="",I47=""),"",((G47*J47)+(H47*K47))/1000000)</f>
        <v/>
      </c>
      <c r="O47" s="59">
        <f>IF(N47="","",N47*(1+L47)*M47)</f>
        <v/>
      </c>
      <c r="P47" s="59">
        <f>IF(OR(D47="",O47=""),"",D47*O47)</f>
        <v/>
      </c>
      <c r="Q47" s="83">
        <f>IF(OR(P47="",F47=""),"",P47*F47)</f>
        <v/>
      </c>
      <c r="R47" s="59" t="n"/>
      <c r="S47" s="60">
        <f>IF(R47="","",IF(O47=0,"",R47/O47-1))</f>
        <v/>
      </c>
      <c r="T47" s="77" t="n"/>
      <c r="U47" s="77" t="n"/>
      <c r="V47" s="77">
        <f>IF(A47="","",TEXTJOIN("; ",TRUE,IF(B47="","Missing operating area",""),IF(E47="","Missing cadence",""),IF(I47="","Missing model",""),IF(D47="","Missing volume",""),IF(G47="","Missing input tokens",""),IF(M47="","Missing QA multiplier",""),IF(T47="","Missing assumption notes","")))</f>
        <v/>
      </c>
      <c r="W47" s="3" t="n"/>
      <c r="X47" s="3" t="n"/>
      <c r="Y47" s="3" t="n"/>
      <c r="Z47" s="3" t="n"/>
    </row>
    <row r="48" ht="37.5" customHeight="1" s="88">
      <c r="A48" s="70" t="n"/>
      <c r="B48" s="70" t="n"/>
      <c r="C48" s="70" t="n"/>
      <c r="D48" s="71" t="n"/>
      <c r="E48" s="72" t="n"/>
      <c r="F48" s="71">
        <f t="array" ref="F48">IFERROR(XLOOKUP(E48,'Cadence Reference'!$A$5:$A$12,'Cadence Reference'!$B$5:$B$12),"")</f>
        <v/>
      </c>
      <c r="G48" s="71" t="n"/>
      <c r="H48" s="71" t="n"/>
      <c r="I48" s="73" t="n"/>
      <c r="J48" s="74">
        <f t="array" ref="J48">IFERROR(XLOOKUP(I48,'Pricing Reference'!$B$5:$B$12,'Pricing Reference'!$D$5:$D$12),"")</f>
        <v/>
      </c>
      <c r="K48" s="74">
        <f t="array" ref="K48">IFERROR(XLOOKUP(I48,'Pricing Reference'!$B$5:$B$12,'Pricing Reference'!$E$5:$E$12),"")</f>
        <v/>
      </c>
      <c r="L48" s="69" t="n"/>
      <c r="M48" s="75" t="n"/>
      <c r="N48" s="68">
        <f>IF(OR(G48="",I48=""),"",((G48*J48)+(H48*K48))/1000000)</f>
        <v/>
      </c>
      <c r="O48" s="68">
        <f>IF(N48="","",N48*(1+L48)*M48)</f>
        <v/>
      </c>
      <c r="P48" s="68">
        <f>IF(OR(D48="",O48=""),"",D48*O48)</f>
        <v/>
      </c>
      <c r="Q48" s="76">
        <f>IF(OR(P48="",F48=""),"",P48*F48)</f>
        <v/>
      </c>
      <c r="R48" s="68" t="n"/>
      <c r="S48" s="69">
        <f>IF(R48="","",IF(O48=0,"",R48/O48-1))</f>
        <v/>
      </c>
      <c r="T48" s="70" t="n"/>
      <c r="U48" s="70" t="n"/>
      <c r="V48" s="70">
        <f>IF(A48="","",TEXTJOIN("; ",TRUE,IF(B48="","Missing operating area",""),IF(E48="","Missing cadence",""),IF(I48="","Missing model",""),IF(D48="","Missing volume",""),IF(G48="","Missing input tokens",""),IF(M48="","Missing QA multiplier",""),IF(T48="","Missing assumption notes","")))</f>
        <v/>
      </c>
      <c r="W48" s="3" t="n"/>
      <c r="X48" s="3" t="n"/>
      <c r="Y48" s="3" t="n"/>
      <c r="Z48" s="3" t="n"/>
    </row>
    <row r="49" ht="37.5" customHeight="1" s="88">
      <c r="A49" s="77" t="n"/>
      <c r="B49" s="77" t="n"/>
      <c r="C49" s="77" t="n"/>
      <c r="D49" s="78" t="n"/>
      <c r="E49" s="79" t="n"/>
      <c r="F49" s="78">
        <f t="array" ref="F49">IFERROR(XLOOKUP(E49,'Cadence Reference'!$A$5:$A$12,'Cadence Reference'!$B$5:$B$12),"")</f>
        <v/>
      </c>
      <c r="G49" s="78" t="n"/>
      <c r="H49" s="78" t="n"/>
      <c r="I49" s="80" t="n"/>
      <c r="J49" s="81">
        <f t="array" ref="J49">IFERROR(XLOOKUP(I49,'Pricing Reference'!$B$5:$B$12,'Pricing Reference'!$D$5:$D$12),"")</f>
        <v/>
      </c>
      <c r="K49" s="81">
        <f t="array" ref="K49">IFERROR(XLOOKUP(I49,'Pricing Reference'!$B$5:$B$12,'Pricing Reference'!$E$5:$E$12),"")</f>
        <v/>
      </c>
      <c r="L49" s="60" t="n"/>
      <c r="M49" s="82" t="n"/>
      <c r="N49" s="59">
        <f>IF(OR(G49="",I49=""),"",((G49*J49)+(H49*K49))/1000000)</f>
        <v/>
      </c>
      <c r="O49" s="59">
        <f>IF(N49="","",N49*(1+L49)*M49)</f>
        <v/>
      </c>
      <c r="P49" s="59">
        <f>IF(OR(D49="",O49=""),"",D49*O49)</f>
        <v/>
      </c>
      <c r="Q49" s="83">
        <f>IF(OR(P49="",F49=""),"",P49*F49)</f>
        <v/>
      </c>
      <c r="R49" s="59" t="n"/>
      <c r="S49" s="60">
        <f>IF(R49="","",IF(O49=0,"",R49/O49-1))</f>
        <v/>
      </c>
      <c r="T49" s="77" t="n"/>
      <c r="U49" s="77" t="n"/>
      <c r="V49" s="77">
        <f>IF(A49="","",TEXTJOIN("; ",TRUE,IF(B49="","Missing operating area",""),IF(E49="","Missing cadence",""),IF(I49="","Missing model",""),IF(D49="","Missing volume",""),IF(G49="","Missing input tokens",""),IF(M49="","Missing QA multiplier",""),IF(T49="","Missing assumption notes","")))</f>
        <v/>
      </c>
      <c r="W49" s="3" t="n"/>
      <c r="X49" s="3" t="n"/>
      <c r="Y49" s="3" t="n"/>
      <c r="Z49" s="3" t="n"/>
    </row>
    <row r="50" ht="37.5" customHeight="1" s="88">
      <c r="A50" s="70" t="n"/>
      <c r="B50" s="70" t="n"/>
      <c r="C50" s="70" t="n"/>
      <c r="D50" s="71" t="n"/>
      <c r="E50" s="72" t="n"/>
      <c r="F50" s="71">
        <f t="array" ref="F50">IFERROR(XLOOKUP(E50,'Cadence Reference'!$A$5:$A$12,'Cadence Reference'!$B$5:$B$12),"")</f>
        <v/>
      </c>
      <c r="G50" s="71" t="n"/>
      <c r="H50" s="71" t="n"/>
      <c r="I50" s="73" t="n"/>
      <c r="J50" s="74">
        <f t="array" ref="J50">IFERROR(XLOOKUP(I50,'Pricing Reference'!$B$5:$B$12,'Pricing Reference'!$D$5:$D$12),"")</f>
        <v/>
      </c>
      <c r="K50" s="74">
        <f t="array" ref="K50">IFERROR(XLOOKUP(I50,'Pricing Reference'!$B$5:$B$12,'Pricing Reference'!$E$5:$E$12),"")</f>
        <v/>
      </c>
      <c r="L50" s="69" t="n"/>
      <c r="M50" s="75" t="n"/>
      <c r="N50" s="68">
        <f>IF(OR(G50="",I50=""),"",((G50*J50)+(H50*K50))/1000000)</f>
        <v/>
      </c>
      <c r="O50" s="68">
        <f>IF(N50="","",N50*(1+L50)*M50)</f>
        <v/>
      </c>
      <c r="P50" s="68">
        <f>IF(OR(D50="",O50=""),"",D50*O50)</f>
        <v/>
      </c>
      <c r="Q50" s="76">
        <f>IF(OR(P50="",F50=""),"",P50*F50)</f>
        <v/>
      </c>
      <c r="R50" s="68" t="n"/>
      <c r="S50" s="69">
        <f>IF(R50="","",IF(O50=0,"",R50/O50-1))</f>
        <v/>
      </c>
      <c r="T50" s="70" t="n"/>
      <c r="U50" s="70" t="n"/>
      <c r="V50" s="70">
        <f>IF(A50="","",TEXTJOIN("; ",TRUE,IF(B50="","Missing operating area",""),IF(E50="","Missing cadence",""),IF(I50="","Missing model",""),IF(D50="","Missing volume",""),IF(G50="","Missing input tokens",""),IF(M50="","Missing QA multiplier",""),IF(T50="","Missing assumption notes","")))</f>
        <v/>
      </c>
      <c r="W50" s="3" t="n"/>
      <c r="X50" s="3" t="n"/>
      <c r="Y50" s="3" t="n"/>
      <c r="Z50" s="3" t="n"/>
    </row>
    <row r="51" ht="37.5" customHeight="1" s="88">
      <c r="A51" s="77" t="n"/>
      <c r="B51" s="77" t="n"/>
      <c r="C51" s="77" t="n"/>
      <c r="D51" s="78" t="n"/>
      <c r="E51" s="79" t="n"/>
      <c r="F51" s="78">
        <f t="array" ref="F51">IFERROR(XLOOKUP(E51,'Cadence Reference'!$A$5:$A$12,'Cadence Reference'!$B$5:$B$12),"")</f>
        <v/>
      </c>
      <c r="G51" s="78" t="n"/>
      <c r="H51" s="78" t="n"/>
      <c r="I51" s="80" t="n"/>
      <c r="J51" s="81">
        <f t="array" ref="J51">IFERROR(XLOOKUP(I51,'Pricing Reference'!$B$5:$B$12,'Pricing Reference'!$D$5:$D$12),"")</f>
        <v/>
      </c>
      <c r="K51" s="81">
        <f t="array" ref="K51">IFERROR(XLOOKUP(I51,'Pricing Reference'!$B$5:$B$12,'Pricing Reference'!$E$5:$E$12),"")</f>
        <v/>
      </c>
      <c r="L51" s="60" t="n"/>
      <c r="M51" s="82" t="n"/>
      <c r="N51" s="59">
        <f>IF(OR(G51="",I51=""),"",((G51*J51)+(H51*K51))/1000000)</f>
        <v/>
      </c>
      <c r="O51" s="59">
        <f>IF(N51="","",N51*(1+L51)*M51)</f>
        <v/>
      </c>
      <c r="P51" s="59">
        <f>IF(OR(D51="",O51=""),"",D51*O51)</f>
        <v/>
      </c>
      <c r="Q51" s="83">
        <f>IF(OR(P51="",F51=""),"",P51*F51)</f>
        <v/>
      </c>
      <c r="R51" s="59" t="n"/>
      <c r="S51" s="60">
        <f>IF(R51="","",IF(O51=0,"",R51/O51-1))</f>
        <v/>
      </c>
      <c r="T51" s="77" t="n"/>
      <c r="U51" s="77" t="n"/>
      <c r="V51" s="77">
        <f>IF(A51="","",TEXTJOIN("; ",TRUE,IF(B51="","Missing operating area",""),IF(E51="","Missing cadence",""),IF(I51="","Missing model",""),IF(D51="","Missing volume",""),IF(G51="","Missing input tokens",""),IF(M51="","Missing QA multiplier",""),IF(T51="","Missing assumption notes","")))</f>
        <v/>
      </c>
      <c r="W51" s="3" t="n"/>
      <c r="X51" s="3" t="n"/>
      <c r="Y51" s="3" t="n"/>
      <c r="Z51" s="3" t="n"/>
    </row>
    <row r="52" ht="37.5" customHeight="1" s="88">
      <c r="A52" s="70" t="n"/>
      <c r="B52" s="70" t="n"/>
      <c r="C52" s="70" t="n"/>
      <c r="D52" s="71" t="n"/>
      <c r="E52" s="72" t="n"/>
      <c r="F52" s="71">
        <f t="array" ref="F52">IFERROR(XLOOKUP(E52,'Cadence Reference'!$A$5:$A$12,'Cadence Reference'!$B$5:$B$12),"")</f>
        <v/>
      </c>
      <c r="G52" s="71" t="n"/>
      <c r="H52" s="71" t="n"/>
      <c r="I52" s="73" t="n"/>
      <c r="J52" s="74">
        <f t="array" ref="J52">IFERROR(XLOOKUP(I52,'Pricing Reference'!$B$5:$B$12,'Pricing Reference'!$D$5:$D$12),"")</f>
        <v/>
      </c>
      <c r="K52" s="74">
        <f t="array" ref="K52">IFERROR(XLOOKUP(I52,'Pricing Reference'!$B$5:$B$12,'Pricing Reference'!$E$5:$E$12),"")</f>
        <v/>
      </c>
      <c r="L52" s="69" t="n"/>
      <c r="M52" s="75" t="n"/>
      <c r="N52" s="68">
        <f>IF(OR(G52="",I52=""),"",((G52*J52)+(H52*K52))/1000000)</f>
        <v/>
      </c>
      <c r="O52" s="68">
        <f>IF(N52="","",N52*(1+L52)*M52)</f>
        <v/>
      </c>
      <c r="P52" s="68">
        <f>IF(OR(D52="",O52=""),"",D52*O52)</f>
        <v/>
      </c>
      <c r="Q52" s="76">
        <f>IF(OR(P52="",F52=""),"",P52*F52)</f>
        <v/>
      </c>
      <c r="R52" s="68" t="n"/>
      <c r="S52" s="69">
        <f>IF(R52="","",IF(O52=0,"",R52/O52-1))</f>
        <v/>
      </c>
      <c r="T52" s="70" t="n"/>
      <c r="U52" s="70" t="n"/>
      <c r="V52" s="70">
        <f>IF(A52="","",TEXTJOIN("; ",TRUE,IF(B52="","Missing operating area",""),IF(E52="","Missing cadence",""),IF(I52="","Missing model",""),IF(D52="","Missing volume",""),IF(G52="","Missing input tokens",""),IF(M52="","Missing QA multiplier",""),IF(T52="","Missing assumption notes","")))</f>
        <v/>
      </c>
      <c r="W52" s="3" t="n"/>
      <c r="X52" s="3" t="n"/>
      <c r="Y52" s="3" t="n"/>
      <c r="Z52" s="3" t="n"/>
    </row>
    <row r="53" ht="37.5" customHeight="1" s="88">
      <c r="A53" s="77" t="n"/>
      <c r="B53" s="77" t="n"/>
      <c r="C53" s="77" t="n"/>
      <c r="D53" s="78" t="n"/>
      <c r="E53" s="79" t="n"/>
      <c r="F53" s="78">
        <f t="array" ref="F53">IFERROR(XLOOKUP(E53,'Cadence Reference'!$A$5:$A$12,'Cadence Reference'!$B$5:$B$12),"")</f>
        <v/>
      </c>
      <c r="G53" s="78" t="n"/>
      <c r="H53" s="78" t="n"/>
      <c r="I53" s="80" t="n"/>
      <c r="J53" s="81">
        <f t="array" ref="J53">IFERROR(XLOOKUP(I53,'Pricing Reference'!$B$5:$B$12,'Pricing Reference'!$D$5:$D$12),"")</f>
        <v/>
      </c>
      <c r="K53" s="81">
        <f t="array" ref="K53">IFERROR(XLOOKUP(I53,'Pricing Reference'!$B$5:$B$12,'Pricing Reference'!$E$5:$E$12),"")</f>
        <v/>
      </c>
      <c r="L53" s="60" t="n"/>
      <c r="M53" s="82" t="n"/>
      <c r="N53" s="59">
        <f>IF(OR(G53="",I53=""),"",((G53*J53)+(H53*K53))/1000000)</f>
        <v/>
      </c>
      <c r="O53" s="59">
        <f>IF(N53="","",N53*(1+L53)*M53)</f>
        <v/>
      </c>
      <c r="P53" s="59">
        <f>IF(OR(D53="",O53=""),"",D53*O53)</f>
        <v/>
      </c>
      <c r="Q53" s="83">
        <f>IF(OR(P53="",F53=""),"",P53*F53)</f>
        <v/>
      </c>
      <c r="R53" s="59" t="n"/>
      <c r="S53" s="60">
        <f>IF(R53="","",IF(O53=0,"",R53/O53-1))</f>
        <v/>
      </c>
      <c r="T53" s="77" t="n"/>
      <c r="U53" s="77" t="n"/>
      <c r="V53" s="77">
        <f>IF(A53="","",TEXTJOIN("; ",TRUE,IF(B53="","Missing operating area",""),IF(E53="","Missing cadence",""),IF(I53="","Missing model",""),IF(D53="","Missing volume",""),IF(G53="","Missing input tokens",""),IF(M53="","Missing QA multiplier",""),IF(T53="","Missing assumption notes","")))</f>
        <v/>
      </c>
      <c r="W53" s="3" t="n"/>
      <c r="X53" s="3" t="n"/>
      <c r="Y53" s="3" t="n"/>
      <c r="Z53" s="3" t="n"/>
    </row>
    <row r="54" ht="37.5" customHeight="1" s="88">
      <c r="A54" s="70" t="n"/>
      <c r="B54" s="70" t="n"/>
      <c r="C54" s="70" t="n"/>
      <c r="D54" s="71" t="n"/>
      <c r="E54" s="72" t="n"/>
      <c r="F54" s="71">
        <f t="array" ref="F54">IFERROR(XLOOKUP(E54,'Cadence Reference'!$A$5:$A$12,'Cadence Reference'!$B$5:$B$12),"")</f>
        <v/>
      </c>
      <c r="G54" s="71" t="n"/>
      <c r="H54" s="71" t="n"/>
      <c r="I54" s="73" t="n"/>
      <c r="J54" s="74">
        <f t="array" ref="J54">IFERROR(XLOOKUP(I54,'Pricing Reference'!$B$5:$B$12,'Pricing Reference'!$D$5:$D$12),"")</f>
        <v/>
      </c>
      <c r="K54" s="74">
        <f t="array" ref="K54">IFERROR(XLOOKUP(I54,'Pricing Reference'!$B$5:$B$12,'Pricing Reference'!$E$5:$E$12),"")</f>
        <v/>
      </c>
      <c r="L54" s="69" t="n"/>
      <c r="M54" s="75" t="n"/>
      <c r="N54" s="68">
        <f>IF(OR(G54="",I54=""),"",((G54*J54)+(H54*K54))/1000000)</f>
        <v/>
      </c>
      <c r="O54" s="68">
        <f>IF(N54="","",N54*(1+L54)*M54)</f>
        <v/>
      </c>
      <c r="P54" s="68">
        <f>IF(OR(D54="",O54=""),"",D54*O54)</f>
        <v/>
      </c>
      <c r="Q54" s="76">
        <f>IF(OR(P54="",F54=""),"",P54*F54)</f>
        <v/>
      </c>
      <c r="R54" s="68" t="n"/>
      <c r="S54" s="69">
        <f>IF(R54="","",IF(O54=0,"",R54/O54-1))</f>
        <v/>
      </c>
      <c r="T54" s="70" t="n"/>
      <c r="U54" s="70" t="n"/>
      <c r="V54" s="70">
        <f>IF(A54="","",TEXTJOIN("; ",TRUE,IF(B54="","Missing operating area",""),IF(E54="","Missing cadence",""),IF(I54="","Missing model",""),IF(D54="","Missing volume",""),IF(G54="","Missing input tokens",""),IF(M54="","Missing QA multiplier",""),IF(T54="","Missing assumption notes","")))</f>
        <v/>
      </c>
      <c r="W54" s="3" t="n"/>
      <c r="X54" s="3" t="n"/>
      <c r="Y54" s="3" t="n"/>
      <c r="Z54" s="3" t="n"/>
    </row>
    <row r="55" ht="37.5" customHeight="1" s="88">
      <c r="A55" s="77" t="n"/>
      <c r="B55" s="77" t="n"/>
      <c r="C55" s="77" t="n"/>
      <c r="D55" s="78" t="n"/>
      <c r="E55" s="79" t="n"/>
      <c r="F55" s="78">
        <f t="array" ref="F55">IFERROR(XLOOKUP(E55,'Cadence Reference'!$A$5:$A$12,'Cadence Reference'!$B$5:$B$12),"")</f>
        <v/>
      </c>
      <c r="G55" s="78" t="n"/>
      <c r="H55" s="78" t="n"/>
      <c r="I55" s="80" t="n"/>
      <c r="J55" s="81">
        <f t="array" ref="J55">IFERROR(XLOOKUP(I55,'Pricing Reference'!$B$5:$B$12,'Pricing Reference'!$D$5:$D$12),"")</f>
        <v/>
      </c>
      <c r="K55" s="81">
        <f t="array" ref="K55">IFERROR(XLOOKUP(I55,'Pricing Reference'!$B$5:$B$12,'Pricing Reference'!$E$5:$E$12),"")</f>
        <v/>
      </c>
      <c r="L55" s="60" t="n"/>
      <c r="M55" s="82" t="n"/>
      <c r="N55" s="59">
        <f>IF(OR(G55="",I55=""),"",((G55*J55)+(H55*K55))/1000000)</f>
        <v/>
      </c>
      <c r="O55" s="59">
        <f>IF(N55="","",N55*(1+L55)*M55)</f>
        <v/>
      </c>
      <c r="P55" s="59">
        <f>IF(OR(D55="",O55=""),"",D55*O55)</f>
        <v/>
      </c>
      <c r="Q55" s="83">
        <f>IF(OR(P55="",F55=""),"",P55*F55)</f>
        <v/>
      </c>
      <c r="R55" s="59" t="n"/>
      <c r="S55" s="60">
        <f>IF(R55="","",IF(O55=0,"",R55/O55-1))</f>
        <v/>
      </c>
      <c r="T55" s="77" t="n"/>
      <c r="U55" s="77" t="n"/>
      <c r="V55" s="77">
        <f>IF(A55="","",TEXTJOIN("; ",TRUE,IF(B55="","Missing operating area",""),IF(E55="","Missing cadence",""),IF(I55="","Missing model",""),IF(D55="","Missing volume",""),IF(G55="","Missing input tokens",""),IF(M55="","Missing QA multiplier",""),IF(T55="","Missing assumption notes","")))</f>
        <v/>
      </c>
      <c r="W55" s="3" t="n"/>
      <c r="X55" s="3" t="n"/>
      <c r="Y55" s="3" t="n"/>
      <c r="Z55" s="3" t="n"/>
    </row>
    <row r="56" ht="37.5" customHeight="1" s="88">
      <c r="A56" s="70" t="n"/>
      <c r="B56" s="70" t="n"/>
      <c r="C56" s="70" t="n"/>
      <c r="D56" s="71" t="n"/>
      <c r="E56" s="72" t="n"/>
      <c r="F56" s="71">
        <f t="array" ref="F56">IFERROR(XLOOKUP(E56,'Cadence Reference'!$A$5:$A$12,'Cadence Reference'!$B$5:$B$12),"")</f>
        <v/>
      </c>
      <c r="G56" s="71" t="n"/>
      <c r="H56" s="71" t="n"/>
      <c r="I56" s="73" t="n"/>
      <c r="J56" s="74">
        <f t="array" ref="J56">IFERROR(XLOOKUP(I56,'Pricing Reference'!$B$5:$B$12,'Pricing Reference'!$D$5:$D$12),"")</f>
        <v/>
      </c>
      <c r="K56" s="74">
        <f t="array" ref="K56">IFERROR(XLOOKUP(I56,'Pricing Reference'!$B$5:$B$12,'Pricing Reference'!$E$5:$E$12),"")</f>
        <v/>
      </c>
      <c r="L56" s="69" t="n"/>
      <c r="M56" s="75" t="n"/>
      <c r="N56" s="68">
        <f>IF(OR(G56="",I56=""),"",((G56*J56)+(H56*K56))/1000000)</f>
        <v/>
      </c>
      <c r="O56" s="68">
        <f>IF(N56="","",N56*(1+L56)*M56)</f>
        <v/>
      </c>
      <c r="P56" s="68">
        <f>IF(OR(D56="",O56=""),"",D56*O56)</f>
        <v/>
      </c>
      <c r="Q56" s="76">
        <f>IF(OR(P56="",F56=""),"",P56*F56)</f>
        <v/>
      </c>
      <c r="R56" s="68" t="n"/>
      <c r="S56" s="69">
        <f>IF(R56="","",IF(O56=0,"",R56/O56-1))</f>
        <v/>
      </c>
      <c r="T56" s="70" t="n"/>
      <c r="U56" s="70" t="n"/>
      <c r="V56" s="70">
        <f>IF(A56="","",TEXTJOIN("; ",TRUE,IF(B56="","Missing operating area",""),IF(E56="","Missing cadence",""),IF(I56="","Missing model",""),IF(D56="","Missing volume",""),IF(G56="","Missing input tokens",""),IF(M56="","Missing QA multiplier",""),IF(T56="","Missing assumption notes","")))</f>
        <v/>
      </c>
      <c r="W56" s="3" t="n"/>
      <c r="X56" s="3" t="n"/>
      <c r="Y56" s="3" t="n"/>
      <c r="Z56" s="3" t="n"/>
    </row>
    <row r="57" ht="37.5" customHeight="1" s="88">
      <c r="A57" s="77" t="n"/>
      <c r="B57" s="77" t="n"/>
      <c r="C57" s="77" t="n"/>
      <c r="D57" s="78" t="n"/>
      <c r="E57" s="79" t="n"/>
      <c r="F57" s="78">
        <f t="array" ref="F57">IFERROR(XLOOKUP(E57,'Cadence Reference'!$A$5:$A$12,'Cadence Reference'!$B$5:$B$12),"")</f>
        <v/>
      </c>
      <c r="G57" s="78" t="n"/>
      <c r="H57" s="78" t="n"/>
      <c r="I57" s="80" t="n"/>
      <c r="J57" s="81">
        <f t="array" ref="J57">IFERROR(XLOOKUP(I57,'Pricing Reference'!$B$5:$B$12,'Pricing Reference'!$D$5:$D$12),"")</f>
        <v/>
      </c>
      <c r="K57" s="81">
        <f t="array" ref="K57">IFERROR(XLOOKUP(I57,'Pricing Reference'!$B$5:$B$12,'Pricing Reference'!$E$5:$E$12),"")</f>
        <v/>
      </c>
      <c r="L57" s="60" t="n"/>
      <c r="M57" s="82" t="n"/>
      <c r="N57" s="59">
        <f>IF(OR(G57="",I57=""),"",((G57*J57)+(H57*K57))/1000000)</f>
        <v/>
      </c>
      <c r="O57" s="59">
        <f>IF(N57="","",N57*(1+L57)*M57)</f>
        <v/>
      </c>
      <c r="P57" s="59">
        <f>IF(OR(D57="",O57=""),"",D57*O57)</f>
        <v/>
      </c>
      <c r="Q57" s="83">
        <f>IF(OR(P57="",F57=""),"",P57*F57)</f>
        <v/>
      </c>
      <c r="R57" s="59" t="n"/>
      <c r="S57" s="60">
        <f>IF(R57="","",IF(O57=0,"",R57/O57-1))</f>
        <v/>
      </c>
      <c r="T57" s="77" t="n"/>
      <c r="U57" s="77" t="n"/>
      <c r="V57" s="77">
        <f>IF(A57="","",TEXTJOIN("; ",TRUE,IF(B57="","Missing operating area",""),IF(E57="","Missing cadence",""),IF(I57="","Missing model",""),IF(D57="","Missing volume",""),IF(G57="","Missing input tokens",""),IF(M57="","Missing QA multiplier",""),IF(T57="","Missing assumption notes","")))</f>
        <v/>
      </c>
      <c r="W57" s="3" t="n"/>
      <c r="X57" s="3" t="n"/>
      <c r="Y57" s="3" t="n"/>
      <c r="Z57" s="3" t="n"/>
    </row>
    <row r="58" ht="37.5" customHeight="1" s="88">
      <c r="A58" s="70" t="n"/>
      <c r="B58" s="70" t="n"/>
      <c r="C58" s="70" t="n"/>
      <c r="D58" s="71" t="n"/>
      <c r="E58" s="72" t="n"/>
      <c r="F58" s="71">
        <f t="array" ref="F58">IFERROR(XLOOKUP(E58,'Cadence Reference'!$A$5:$A$12,'Cadence Reference'!$B$5:$B$12),"")</f>
        <v/>
      </c>
      <c r="G58" s="71" t="n"/>
      <c r="H58" s="71" t="n"/>
      <c r="I58" s="73" t="n"/>
      <c r="J58" s="74">
        <f t="array" ref="J58">IFERROR(XLOOKUP(I58,'Pricing Reference'!$B$5:$B$12,'Pricing Reference'!$D$5:$D$12),"")</f>
        <v/>
      </c>
      <c r="K58" s="74">
        <f t="array" ref="K58">IFERROR(XLOOKUP(I58,'Pricing Reference'!$B$5:$B$12,'Pricing Reference'!$E$5:$E$12),"")</f>
        <v/>
      </c>
      <c r="L58" s="69" t="n"/>
      <c r="M58" s="75" t="n"/>
      <c r="N58" s="68">
        <f>IF(OR(G58="",I58=""),"",((G58*J58)+(H58*K58))/1000000)</f>
        <v/>
      </c>
      <c r="O58" s="68">
        <f>IF(N58="","",N58*(1+L58)*M58)</f>
        <v/>
      </c>
      <c r="P58" s="68">
        <f>IF(OR(D58="",O58=""),"",D58*O58)</f>
        <v/>
      </c>
      <c r="Q58" s="76">
        <f>IF(OR(P58="",F58=""),"",P58*F58)</f>
        <v/>
      </c>
      <c r="R58" s="68" t="n"/>
      <c r="S58" s="69">
        <f>IF(R58="","",IF(O58=0,"",R58/O58-1))</f>
        <v/>
      </c>
      <c r="T58" s="70" t="n"/>
      <c r="U58" s="70" t="n"/>
      <c r="V58" s="70">
        <f>IF(A58="","",TEXTJOIN("; ",TRUE,IF(B58="","Missing operating area",""),IF(E58="","Missing cadence",""),IF(I58="","Missing model",""),IF(D58="","Missing volume",""),IF(G58="","Missing input tokens",""),IF(M58="","Missing QA multiplier",""),IF(T58="","Missing assumption notes","")))</f>
        <v/>
      </c>
      <c r="W58" s="3" t="n"/>
      <c r="X58" s="3" t="n"/>
      <c r="Y58" s="3" t="n"/>
      <c r="Z58" s="3" t="n"/>
    </row>
    <row r="59" ht="37.5" customHeight="1" s="88">
      <c r="A59" s="77" t="n"/>
      <c r="B59" s="77" t="n"/>
      <c r="C59" s="77" t="n"/>
      <c r="D59" s="78" t="n"/>
      <c r="E59" s="79" t="n"/>
      <c r="F59" s="78">
        <f t="array" ref="F59">IFERROR(XLOOKUP(E59,'Cadence Reference'!$A$5:$A$12,'Cadence Reference'!$B$5:$B$12),"")</f>
        <v/>
      </c>
      <c r="G59" s="78" t="n"/>
      <c r="H59" s="78" t="n"/>
      <c r="I59" s="80" t="n"/>
      <c r="J59" s="81">
        <f t="array" ref="J59">IFERROR(XLOOKUP(I59,'Pricing Reference'!$B$5:$B$12,'Pricing Reference'!$D$5:$D$12),"")</f>
        <v/>
      </c>
      <c r="K59" s="81">
        <f t="array" ref="K59">IFERROR(XLOOKUP(I59,'Pricing Reference'!$B$5:$B$12,'Pricing Reference'!$E$5:$E$12),"")</f>
        <v/>
      </c>
      <c r="L59" s="60" t="n"/>
      <c r="M59" s="82" t="n"/>
      <c r="N59" s="59">
        <f>IF(OR(G59="",I59=""),"",((G59*J59)+(H59*K59))/1000000)</f>
        <v/>
      </c>
      <c r="O59" s="59">
        <f>IF(N59="","",N59*(1+L59)*M59)</f>
        <v/>
      </c>
      <c r="P59" s="59">
        <f>IF(OR(D59="",O59=""),"",D59*O59)</f>
        <v/>
      </c>
      <c r="Q59" s="83">
        <f>IF(OR(P59="",F59=""),"",P59*F59)</f>
        <v/>
      </c>
      <c r="R59" s="59" t="n"/>
      <c r="S59" s="60">
        <f>IF(R59="","",IF(O59=0,"",R59/O59-1))</f>
        <v/>
      </c>
      <c r="T59" s="77" t="n"/>
      <c r="U59" s="77" t="n"/>
      <c r="V59" s="77">
        <f>IF(A59="","",TEXTJOIN("; ",TRUE,IF(B59="","Missing operating area",""),IF(E59="","Missing cadence",""),IF(I59="","Missing model",""),IF(D59="","Missing volume",""),IF(G59="","Missing input tokens",""),IF(M59="","Missing QA multiplier",""),IF(T59="","Missing assumption notes","")))</f>
        <v/>
      </c>
      <c r="W59" s="3" t="n"/>
      <c r="X59" s="3" t="n"/>
      <c r="Y59" s="3" t="n"/>
      <c r="Z59" s="3" t="n"/>
    </row>
    <row r="60" ht="37.5" customHeight="1" s="88">
      <c r="A60" s="70" t="n"/>
      <c r="B60" s="70" t="n"/>
      <c r="C60" s="70" t="n"/>
      <c r="D60" s="71" t="n"/>
      <c r="E60" s="72" t="n"/>
      <c r="F60" s="71">
        <f t="array" ref="F60">IFERROR(XLOOKUP(E60,'Cadence Reference'!$A$5:$A$12,'Cadence Reference'!$B$5:$B$12),"")</f>
        <v/>
      </c>
      <c r="G60" s="71" t="n"/>
      <c r="H60" s="71" t="n"/>
      <c r="I60" s="73" t="n"/>
      <c r="J60" s="74">
        <f t="array" ref="J60">IFERROR(XLOOKUP(I60,'Pricing Reference'!$B$5:$B$12,'Pricing Reference'!$D$5:$D$12),"")</f>
        <v/>
      </c>
      <c r="K60" s="74">
        <f t="array" ref="K60">IFERROR(XLOOKUP(I60,'Pricing Reference'!$B$5:$B$12,'Pricing Reference'!$E$5:$E$12),"")</f>
        <v/>
      </c>
      <c r="L60" s="69" t="n"/>
      <c r="M60" s="75" t="n"/>
      <c r="N60" s="68">
        <f>IF(OR(G60="",I60=""),"",((G60*J60)+(H60*K60))/1000000)</f>
        <v/>
      </c>
      <c r="O60" s="68">
        <f>IF(N60="","",N60*(1+L60)*M60)</f>
        <v/>
      </c>
      <c r="P60" s="68">
        <f>IF(OR(D60="",O60=""),"",D60*O60)</f>
        <v/>
      </c>
      <c r="Q60" s="76">
        <f>IF(OR(P60="",F60=""),"",P60*F60)</f>
        <v/>
      </c>
      <c r="R60" s="68" t="n"/>
      <c r="S60" s="69">
        <f>IF(R60="","",IF(O60=0,"",R60/O60-1))</f>
        <v/>
      </c>
      <c r="T60" s="70" t="n"/>
      <c r="U60" s="70" t="n"/>
      <c r="V60" s="70">
        <f>IF(A60="","",TEXTJOIN("; ",TRUE,IF(B60="","Missing operating area",""),IF(E60="","Missing cadence",""),IF(I60="","Missing model",""),IF(D60="","Missing volume",""),IF(G60="","Missing input tokens",""),IF(M60="","Missing QA multiplier",""),IF(T60="","Missing assumption notes","")))</f>
        <v/>
      </c>
      <c r="W60" s="3" t="n"/>
      <c r="X60" s="3" t="n"/>
      <c r="Y60" s="3" t="n"/>
      <c r="Z60" s="3" t="n"/>
    </row>
    <row r="61" ht="37.5" customHeight="1" s="88">
      <c r="A61" s="77" t="n"/>
      <c r="B61" s="77" t="n"/>
      <c r="C61" s="77" t="n"/>
      <c r="D61" s="78" t="n"/>
      <c r="E61" s="79" t="n"/>
      <c r="F61" s="78">
        <f t="array" ref="F61">IFERROR(XLOOKUP(E61,'Cadence Reference'!$A$5:$A$12,'Cadence Reference'!$B$5:$B$12),"")</f>
        <v/>
      </c>
      <c r="G61" s="78" t="n"/>
      <c r="H61" s="78" t="n"/>
      <c r="I61" s="80" t="n"/>
      <c r="J61" s="81">
        <f t="array" ref="J61">IFERROR(XLOOKUP(I61,'Pricing Reference'!$B$5:$B$12,'Pricing Reference'!$D$5:$D$12),"")</f>
        <v/>
      </c>
      <c r="K61" s="81">
        <f t="array" ref="K61">IFERROR(XLOOKUP(I61,'Pricing Reference'!$B$5:$B$12,'Pricing Reference'!$E$5:$E$12),"")</f>
        <v/>
      </c>
      <c r="L61" s="60" t="n"/>
      <c r="M61" s="82" t="n"/>
      <c r="N61" s="59">
        <f>IF(OR(G61="",I61=""),"",((G61*J61)+(H61*K61))/1000000)</f>
        <v/>
      </c>
      <c r="O61" s="59">
        <f>IF(N61="","",N61*(1+L61)*M61)</f>
        <v/>
      </c>
      <c r="P61" s="59">
        <f>IF(OR(D61="",O61=""),"",D61*O61)</f>
        <v/>
      </c>
      <c r="Q61" s="83">
        <f>IF(OR(P61="",F61=""),"",P61*F61)</f>
        <v/>
      </c>
      <c r="R61" s="59" t="n"/>
      <c r="S61" s="60">
        <f>IF(R61="","",IF(O61=0,"",R61/O61-1))</f>
        <v/>
      </c>
      <c r="T61" s="77" t="n"/>
      <c r="U61" s="77" t="n"/>
      <c r="V61" s="77">
        <f>IF(A61="","",TEXTJOIN("; ",TRUE,IF(B61="","Missing operating area",""),IF(E61="","Missing cadence",""),IF(I61="","Missing model",""),IF(D61="","Missing volume",""),IF(G61="","Missing input tokens",""),IF(M61="","Missing QA multiplier",""),IF(T61="","Missing assumption notes","")))</f>
        <v/>
      </c>
      <c r="W61" s="3" t="n"/>
      <c r="X61" s="3" t="n"/>
      <c r="Y61" s="3" t="n"/>
      <c r="Z61" s="3" t="n"/>
    </row>
    <row r="62" ht="37.5" customHeight="1" s="88">
      <c r="A62" s="70" t="n"/>
      <c r="B62" s="70" t="n"/>
      <c r="C62" s="70" t="n"/>
      <c r="D62" s="71" t="n"/>
      <c r="E62" s="72" t="n"/>
      <c r="F62" s="71">
        <f t="array" ref="F62">IFERROR(XLOOKUP(E62,'Cadence Reference'!$A$5:$A$12,'Cadence Reference'!$B$5:$B$12),"")</f>
        <v/>
      </c>
      <c r="G62" s="71" t="n"/>
      <c r="H62" s="71" t="n"/>
      <c r="I62" s="73" t="n"/>
      <c r="J62" s="74">
        <f t="array" ref="J62">IFERROR(XLOOKUP(I62,'Pricing Reference'!$B$5:$B$12,'Pricing Reference'!$D$5:$D$12),"")</f>
        <v/>
      </c>
      <c r="K62" s="74">
        <f t="array" ref="K62">IFERROR(XLOOKUP(I62,'Pricing Reference'!$B$5:$B$12,'Pricing Reference'!$E$5:$E$12),"")</f>
        <v/>
      </c>
      <c r="L62" s="69" t="n"/>
      <c r="M62" s="75" t="n"/>
      <c r="N62" s="68">
        <f>IF(OR(G62="",I62=""),"",((G62*J62)+(H62*K62))/1000000)</f>
        <v/>
      </c>
      <c r="O62" s="68">
        <f>IF(N62="","",N62*(1+L62)*M62)</f>
        <v/>
      </c>
      <c r="P62" s="68">
        <f>IF(OR(D62="",O62=""),"",D62*O62)</f>
        <v/>
      </c>
      <c r="Q62" s="76">
        <f>IF(OR(P62="",F62=""),"",P62*F62)</f>
        <v/>
      </c>
      <c r="R62" s="68" t="n"/>
      <c r="S62" s="69">
        <f>IF(R62="","",IF(O62=0,"",R62/O62-1))</f>
        <v/>
      </c>
      <c r="T62" s="70" t="n"/>
      <c r="U62" s="70" t="n"/>
      <c r="V62" s="70">
        <f>IF(A62="","",TEXTJOIN("; ",TRUE,IF(B62="","Missing operating area",""),IF(E62="","Missing cadence",""),IF(I62="","Missing model",""),IF(D62="","Missing volume",""),IF(G62="","Missing input tokens",""),IF(M62="","Missing QA multiplier",""),IF(T62="","Missing assumption notes","")))</f>
        <v/>
      </c>
      <c r="W62" s="3" t="n"/>
      <c r="X62" s="3" t="n"/>
      <c r="Y62" s="3" t="n"/>
      <c r="Z62" s="3" t="n"/>
    </row>
    <row r="63" ht="37.5" customHeight="1" s="88">
      <c r="A63" s="3" t="n"/>
      <c r="B63" s="3" t="n"/>
      <c r="C63" s="3" t="n"/>
      <c r="D63" s="84" t="n"/>
      <c r="E63" s="84" t="n"/>
      <c r="F63" s="84" t="n"/>
      <c r="G63" s="3" t="n"/>
      <c r="H63" s="85" t="n"/>
      <c r="I63" s="85" t="n"/>
      <c r="J63" s="86" t="n"/>
      <c r="K63" s="87" t="n"/>
      <c r="L63" s="85" t="n"/>
      <c r="M63" s="85" t="n"/>
      <c r="N63" s="85" t="n"/>
      <c r="O63" s="3" t="n"/>
      <c r="P63" s="3" t="n"/>
      <c r="Q63" s="3" t="n"/>
      <c r="R63" s="3" t="n"/>
      <c r="S63" s="3" t="n"/>
      <c r="T63" s="3" t="n"/>
      <c r="U63" s="3" t="n"/>
      <c r="V63" s="3" t="n"/>
      <c r="W63" s="3" t="n"/>
      <c r="X63" s="3" t="n"/>
      <c r="Y63" s="3" t="n"/>
      <c r="Z63" s="3" t="n"/>
    </row>
    <row r="64" ht="37.5" customHeight="1" s="88">
      <c r="A64" s="3" t="n"/>
      <c r="B64" s="3" t="n"/>
      <c r="C64" s="3" t="n"/>
      <c r="D64" s="84" t="n"/>
      <c r="E64" s="84" t="n"/>
      <c r="F64" s="84" t="n"/>
      <c r="G64" s="3" t="n"/>
      <c r="H64" s="85" t="n"/>
      <c r="I64" s="85" t="n"/>
      <c r="J64" s="86" t="n"/>
      <c r="K64" s="87" t="n"/>
      <c r="L64" s="85" t="n"/>
      <c r="M64" s="85" t="n"/>
      <c r="N64" s="85" t="n"/>
      <c r="O64" s="3" t="n"/>
      <c r="P64" s="3" t="n"/>
      <c r="Q64" s="3" t="n"/>
      <c r="R64" s="3" t="n"/>
      <c r="S64" s="3" t="n"/>
      <c r="T64" s="3" t="n"/>
      <c r="U64" s="3" t="n"/>
      <c r="V64" s="3" t="n"/>
      <c r="W64" s="3" t="n"/>
      <c r="X64" s="3" t="n"/>
      <c r="Y64" s="3" t="n"/>
      <c r="Z64" s="3" t="n"/>
    </row>
    <row r="65" ht="37.5" customHeight="1" s="88">
      <c r="A65" s="3" t="n"/>
      <c r="B65" s="3" t="n"/>
      <c r="C65" s="3" t="n"/>
      <c r="D65" s="84" t="n"/>
      <c r="E65" s="84" t="n"/>
      <c r="F65" s="84" t="n"/>
      <c r="G65" s="3" t="n"/>
      <c r="H65" s="85" t="n"/>
      <c r="I65" s="85" t="n"/>
      <c r="J65" s="86" t="n"/>
      <c r="K65" s="87" t="n"/>
      <c r="L65" s="85" t="n"/>
      <c r="M65" s="85" t="n"/>
      <c r="N65" s="85" t="n"/>
      <c r="O65" s="3" t="n"/>
      <c r="P65" s="3" t="n"/>
      <c r="Q65" s="3" t="n"/>
      <c r="R65" s="3" t="n"/>
      <c r="S65" s="3" t="n"/>
      <c r="T65" s="3" t="n"/>
      <c r="U65" s="3" t="n"/>
      <c r="V65" s="3" t="n"/>
      <c r="W65" s="3" t="n"/>
      <c r="X65" s="3" t="n"/>
      <c r="Y65" s="3" t="n"/>
      <c r="Z65" s="3" t="n"/>
    </row>
    <row r="66" ht="37.5" customHeight="1" s="88">
      <c r="A66" s="3" t="n"/>
      <c r="B66" s="3" t="n"/>
      <c r="C66" s="3" t="n"/>
      <c r="D66" s="84" t="n"/>
      <c r="E66" s="84" t="n"/>
      <c r="F66" s="84" t="n"/>
      <c r="G66" s="3" t="n"/>
      <c r="H66" s="85" t="n"/>
      <c r="I66" s="85" t="n"/>
      <c r="J66" s="86" t="n"/>
      <c r="K66" s="87" t="n"/>
      <c r="L66" s="85" t="n"/>
      <c r="M66" s="85" t="n"/>
      <c r="N66" s="85" t="n"/>
      <c r="O66" s="3" t="n"/>
      <c r="P66" s="3" t="n"/>
      <c r="Q66" s="3" t="n"/>
      <c r="R66" s="3" t="n"/>
      <c r="S66" s="3" t="n"/>
      <c r="T66" s="3" t="n"/>
      <c r="U66" s="3" t="n"/>
      <c r="V66" s="3" t="n"/>
      <c r="W66" s="3" t="n"/>
      <c r="X66" s="3" t="n"/>
      <c r="Y66" s="3" t="n"/>
      <c r="Z66" s="3" t="n"/>
    </row>
    <row r="67" ht="37.5" customHeight="1" s="88">
      <c r="A67" s="3" t="n"/>
      <c r="B67" s="3" t="n"/>
      <c r="C67" s="3" t="n"/>
      <c r="D67" s="84" t="n"/>
      <c r="E67" s="84" t="n"/>
      <c r="F67" s="84" t="n"/>
      <c r="G67" s="3" t="n"/>
      <c r="H67" s="85" t="n"/>
      <c r="I67" s="85" t="n"/>
      <c r="J67" s="86" t="n"/>
      <c r="K67" s="87" t="n"/>
      <c r="L67" s="85" t="n"/>
      <c r="M67" s="85" t="n"/>
      <c r="N67" s="85" t="n"/>
      <c r="O67" s="3" t="n"/>
      <c r="P67" s="3" t="n"/>
      <c r="Q67" s="3" t="n"/>
      <c r="R67" s="3" t="n"/>
      <c r="S67" s="3" t="n"/>
      <c r="T67" s="3" t="n"/>
      <c r="U67" s="3" t="n"/>
      <c r="V67" s="3" t="n"/>
      <c r="W67" s="3" t="n"/>
      <c r="X67" s="3" t="n"/>
      <c r="Y67" s="3" t="n"/>
      <c r="Z67" s="3" t="n"/>
    </row>
    <row r="68" ht="37.5" customHeight="1" s="88">
      <c r="A68" s="3" t="n"/>
      <c r="B68" s="3" t="n"/>
      <c r="C68" s="3" t="n"/>
      <c r="D68" s="84" t="n"/>
      <c r="E68" s="84" t="n"/>
      <c r="F68" s="84" t="n"/>
      <c r="G68" s="3" t="n"/>
      <c r="H68" s="85" t="n"/>
      <c r="I68" s="85" t="n"/>
      <c r="J68" s="86" t="n"/>
      <c r="K68" s="87" t="n"/>
      <c r="L68" s="85" t="n"/>
      <c r="M68" s="85" t="n"/>
      <c r="N68" s="85" t="n"/>
      <c r="O68" s="3" t="n"/>
      <c r="P68" s="3" t="n"/>
      <c r="Q68" s="3" t="n"/>
      <c r="R68" s="3" t="n"/>
      <c r="S68" s="3" t="n"/>
      <c r="T68" s="3" t="n"/>
      <c r="U68" s="3" t="n"/>
      <c r="V68" s="3" t="n"/>
      <c r="W68" s="3" t="n"/>
      <c r="X68" s="3" t="n"/>
      <c r="Y68" s="3" t="n"/>
      <c r="Z68" s="3" t="n"/>
    </row>
    <row r="69" ht="37.5" customHeight="1" s="88">
      <c r="A69" s="3" t="n"/>
      <c r="B69" s="3" t="n"/>
      <c r="C69" s="3" t="n"/>
      <c r="D69" s="84" t="n"/>
      <c r="E69" s="84" t="n"/>
      <c r="F69" s="84" t="n"/>
      <c r="G69" s="3" t="n"/>
      <c r="H69" s="85" t="n"/>
      <c r="I69" s="85" t="n"/>
      <c r="J69" s="86" t="n"/>
      <c r="K69" s="87" t="n"/>
      <c r="L69" s="85" t="n"/>
      <c r="M69" s="85" t="n"/>
      <c r="N69" s="85" t="n"/>
      <c r="O69" s="3" t="n"/>
      <c r="P69" s="3" t="n"/>
      <c r="Q69" s="3" t="n"/>
      <c r="R69" s="3" t="n"/>
      <c r="S69" s="3" t="n"/>
      <c r="T69" s="3" t="n"/>
      <c r="U69" s="3" t="n"/>
      <c r="V69" s="3" t="n"/>
      <c r="W69" s="3" t="n"/>
      <c r="X69" s="3" t="n"/>
      <c r="Y69" s="3" t="n"/>
      <c r="Z69" s="3" t="n"/>
    </row>
    <row r="70" ht="37.5" customHeight="1" s="88">
      <c r="A70" s="3" t="n"/>
      <c r="B70" s="3" t="n"/>
      <c r="C70" s="3" t="n"/>
      <c r="D70" s="84" t="n"/>
      <c r="E70" s="84" t="n"/>
      <c r="F70" s="84" t="n"/>
      <c r="G70" s="3" t="n"/>
      <c r="H70" s="85" t="n"/>
      <c r="I70" s="85" t="n"/>
      <c r="J70" s="86" t="n"/>
      <c r="K70" s="87" t="n"/>
      <c r="L70" s="85" t="n"/>
      <c r="M70" s="85" t="n"/>
      <c r="N70" s="85" t="n"/>
      <c r="O70" s="3" t="n"/>
      <c r="P70" s="3" t="n"/>
      <c r="Q70" s="3" t="n"/>
      <c r="R70" s="3" t="n"/>
      <c r="S70" s="3" t="n"/>
      <c r="T70" s="3" t="n"/>
      <c r="U70" s="3" t="n"/>
      <c r="V70" s="3" t="n"/>
      <c r="W70" s="3" t="n"/>
      <c r="X70" s="3" t="n"/>
      <c r="Y70" s="3" t="n"/>
      <c r="Z70" s="3" t="n"/>
    </row>
    <row r="71" ht="37.5" customHeight="1" s="88">
      <c r="A71" s="3" t="n"/>
      <c r="B71" s="3" t="n"/>
      <c r="C71" s="3" t="n"/>
      <c r="D71" s="84" t="n"/>
      <c r="E71" s="84" t="n"/>
      <c r="F71" s="84" t="n"/>
      <c r="G71" s="3" t="n"/>
      <c r="H71" s="85" t="n"/>
      <c r="I71" s="85" t="n"/>
      <c r="J71" s="86" t="n"/>
      <c r="K71" s="87" t="n"/>
      <c r="L71" s="85" t="n"/>
      <c r="M71" s="85" t="n"/>
      <c r="N71" s="85" t="n"/>
      <c r="O71" s="3" t="n"/>
      <c r="P71" s="3" t="n"/>
      <c r="Q71" s="3" t="n"/>
      <c r="R71" s="3" t="n"/>
      <c r="S71" s="3" t="n"/>
      <c r="T71" s="3" t="n"/>
      <c r="U71" s="3" t="n"/>
      <c r="V71" s="3" t="n"/>
      <c r="W71" s="3" t="n"/>
      <c r="X71" s="3" t="n"/>
      <c r="Y71" s="3" t="n"/>
      <c r="Z71" s="3" t="n"/>
    </row>
    <row r="72" ht="37.5" customHeight="1" s="88">
      <c r="A72" s="3" t="n"/>
      <c r="B72" s="3" t="n"/>
      <c r="C72" s="3" t="n"/>
      <c r="D72" s="84" t="n"/>
      <c r="E72" s="84" t="n"/>
      <c r="F72" s="84" t="n"/>
      <c r="G72" s="3" t="n"/>
      <c r="H72" s="85" t="n"/>
      <c r="I72" s="85" t="n"/>
      <c r="J72" s="86" t="n"/>
      <c r="K72" s="87" t="n"/>
      <c r="L72" s="85" t="n"/>
      <c r="M72" s="85" t="n"/>
      <c r="N72" s="85" t="n"/>
      <c r="O72" s="3" t="n"/>
      <c r="P72" s="3" t="n"/>
      <c r="Q72" s="3" t="n"/>
      <c r="R72" s="3" t="n"/>
      <c r="S72" s="3" t="n"/>
      <c r="T72" s="3" t="n"/>
      <c r="U72" s="3" t="n"/>
      <c r="V72" s="3" t="n"/>
      <c r="W72" s="3" t="n"/>
      <c r="X72" s="3" t="n"/>
      <c r="Y72" s="3" t="n"/>
      <c r="Z72" s="3" t="n"/>
    </row>
    <row r="73" ht="37.5" customHeight="1" s="88">
      <c r="A73" s="3" t="n"/>
      <c r="B73" s="3" t="n"/>
      <c r="C73" s="3" t="n"/>
      <c r="D73" s="84" t="n"/>
      <c r="E73" s="84" t="n"/>
      <c r="F73" s="84" t="n"/>
      <c r="G73" s="3" t="n"/>
      <c r="H73" s="85" t="n"/>
      <c r="I73" s="85" t="n"/>
      <c r="J73" s="86" t="n"/>
      <c r="K73" s="87" t="n"/>
      <c r="L73" s="85" t="n"/>
      <c r="M73" s="85" t="n"/>
      <c r="N73" s="85" t="n"/>
      <c r="O73" s="3" t="n"/>
      <c r="P73" s="3" t="n"/>
      <c r="Q73" s="3" t="n"/>
      <c r="R73" s="3" t="n"/>
      <c r="S73" s="3" t="n"/>
      <c r="T73" s="3" t="n"/>
      <c r="U73" s="3" t="n"/>
      <c r="V73" s="3" t="n"/>
      <c r="W73" s="3" t="n"/>
      <c r="X73" s="3" t="n"/>
      <c r="Y73" s="3" t="n"/>
      <c r="Z73" s="3" t="n"/>
    </row>
    <row r="74" ht="37.5" customHeight="1" s="88">
      <c r="A74" s="3" t="n"/>
      <c r="B74" s="3" t="n"/>
      <c r="C74" s="3" t="n"/>
      <c r="D74" s="84" t="n"/>
      <c r="E74" s="84" t="n"/>
      <c r="F74" s="84" t="n"/>
      <c r="G74" s="3" t="n"/>
      <c r="H74" s="85" t="n"/>
      <c r="I74" s="85" t="n"/>
      <c r="J74" s="86" t="n"/>
      <c r="K74" s="87" t="n"/>
      <c r="L74" s="85" t="n"/>
      <c r="M74" s="85" t="n"/>
      <c r="N74" s="85" t="n"/>
      <c r="O74" s="3" t="n"/>
      <c r="P74" s="3" t="n"/>
      <c r="Q74" s="3" t="n"/>
      <c r="R74" s="3" t="n"/>
      <c r="S74" s="3" t="n"/>
      <c r="T74" s="3" t="n"/>
      <c r="U74" s="3" t="n"/>
      <c r="V74" s="3" t="n"/>
      <c r="W74" s="3" t="n"/>
      <c r="X74" s="3" t="n"/>
      <c r="Y74" s="3" t="n"/>
      <c r="Z74" s="3" t="n"/>
    </row>
    <row r="75" ht="37.5" customHeight="1" s="88">
      <c r="A75" s="3" t="n"/>
      <c r="B75" s="3" t="n"/>
      <c r="C75" s="3" t="n"/>
      <c r="D75" s="84" t="n"/>
      <c r="E75" s="84" t="n"/>
      <c r="F75" s="84" t="n"/>
      <c r="G75" s="3" t="n"/>
      <c r="H75" s="85" t="n"/>
      <c r="I75" s="85" t="n"/>
      <c r="J75" s="86" t="n"/>
      <c r="K75" s="87" t="n"/>
      <c r="L75" s="85" t="n"/>
      <c r="M75" s="85" t="n"/>
      <c r="N75" s="85" t="n"/>
      <c r="O75" s="3" t="n"/>
      <c r="P75" s="3" t="n"/>
      <c r="Q75" s="3" t="n"/>
      <c r="R75" s="3" t="n"/>
      <c r="S75" s="3" t="n"/>
      <c r="T75" s="3" t="n"/>
      <c r="U75" s="3" t="n"/>
      <c r="V75" s="3" t="n"/>
      <c r="W75" s="3" t="n"/>
      <c r="X75" s="3" t="n"/>
      <c r="Y75" s="3" t="n"/>
      <c r="Z75" s="3" t="n"/>
    </row>
    <row r="76" ht="37.5" customHeight="1" s="88">
      <c r="A76" s="3" t="n"/>
      <c r="B76" s="3" t="n"/>
      <c r="C76" s="3" t="n"/>
      <c r="D76" s="84" t="n"/>
      <c r="E76" s="84" t="n"/>
      <c r="F76" s="84" t="n"/>
      <c r="G76" s="3" t="n"/>
      <c r="H76" s="85" t="n"/>
      <c r="I76" s="85" t="n"/>
      <c r="J76" s="86" t="n"/>
      <c r="K76" s="87" t="n"/>
      <c r="L76" s="85" t="n"/>
      <c r="M76" s="85" t="n"/>
      <c r="N76" s="85" t="n"/>
      <c r="O76" s="3" t="n"/>
      <c r="P76" s="3" t="n"/>
      <c r="Q76" s="3" t="n"/>
      <c r="R76" s="3" t="n"/>
      <c r="S76" s="3" t="n"/>
      <c r="T76" s="3" t="n"/>
      <c r="U76" s="3" t="n"/>
      <c r="V76" s="3" t="n"/>
      <c r="W76" s="3" t="n"/>
      <c r="X76" s="3" t="n"/>
      <c r="Y76" s="3" t="n"/>
      <c r="Z76" s="3" t="n"/>
    </row>
    <row r="77" ht="37.5" customHeight="1" s="88">
      <c r="A77" s="3" t="n"/>
      <c r="B77" s="3" t="n"/>
      <c r="C77" s="3" t="n"/>
      <c r="D77" s="84" t="n"/>
      <c r="E77" s="84" t="n"/>
      <c r="F77" s="84" t="n"/>
      <c r="G77" s="3" t="n"/>
      <c r="H77" s="85" t="n"/>
      <c r="I77" s="85" t="n"/>
      <c r="J77" s="86" t="n"/>
      <c r="K77" s="87" t="n"/>
      <c r="L77" s="85" t="n"/>
      <c r="M77" s="85" t="n"/>
      <c r="N77" s="85" t="n"/>
      <c r="O77" s="3" t="n"/>
      <c r="P77" s="3" t="n"/>
      <c r="Q77" s="3" t="n"/>
      <c r="R77" s="3" t="n"/>
      <c r="S77" s="3" t="n"/>
      <c r="T77" s="3" t="n"/>
      <c r="U77" s="3" t="n"/>
      <c r="V77" s="3" t="n"/>
      <c r="W77" s="3" t="n"/>
      <c r="X77" s="3" t="n"/>
      <c r="Y77" s="3" t="n"/>
      <c r="Z77" s="3" t="n"/>
    </row>
    <row r="78" ht="37.5" customHeight="1" s="88">
      <c r="A78" s="3" t="n"/>
      <c r="B78" s="3" t="n"/>
      <c r="C78" s="3" t="n"/>
      <c r="D78" s="84" t="n"/>
      <c r="E78" s="84" t="n"/>
      <c r="F78" s="84" t="n"/>
      <c r="G78" s="3" t="n"/>
      <c r="H78" s="85" t="n"/>
      <c r="I78" s="85" t="n"/>
      <c r="J78" s="86" t="n"/>
      <c r="K78" s="87" t="n"/>
      <c r="L78" s="85" t="n"/>
      <c r="M78" s="85" t="n"/>
      <c r="N78" s="85" t="n"/>
      <c r="O78" s="3" t="n"/>
      <c r="P78" s="3" t="n"/>
      <c r="Q78" s="3" t="n"/>
      <c r="R78" s="3" t="n"/>
      <c r="S78" s="3" t="n"/>
      <c r="T78" s="3" t="n"/>
      <c r="U78" s="3" t="n"/>
      <c r="V78" s="3" t="n"/>
      <c r="W78" s="3" t="n"/>
      <c r="X78" s="3" t="n"/>
      <c r="Y78" s="3" t="n"/>
      <c r="Z78" s="3" t="n"/>
    </row>
    <row r="79" ht="37.5" customHeight="1" s="88">
      <c r="A79" s="3" t="n"/>
      <c r="B79" s="3" t="n"/>
      <c r="C79" s="3" t="n"/>
      <c r="D79" s="84" t="n"/>
      <c r="E79" s="84" t="n"/>
      <c r="F79" s="84" t="n"/>
      <c r="G79" s="3" t="n"/>
      <c r="H79" s="85" t="n"/>
      <c r="I79" s="85" t="n"/>
      <c r="J79" s="86" t="n"/>
      <c r="K79" s="87" t="n"/>
      <c r="L79" s="85" t="n"/>
      <c r="M79" s="85" t="n"/>
      <c r="N79" s="85" t="n"/>
      <c r="O79" s="3" t="n"/>
      <c r="P79" s="3" t="n"/>
      <c r="Q79" s="3" t="n"/>
      <c r="R79" s="3" t="n"/>
      <c r="S79" s="3" t="n"/>
      <c r="T79" s="3" t="n"/>
      <c r="U79" s="3" t="n"/>
      <c r="V79" s="3" t="n"/>
      <c r="W79" s="3" t="n"/>
      <c r="X79" s="3" t="n"/>
      <c r="Y79" s="3" t="n"/>
      <c r="Z79" s="3" t="n"/>
    </row>
    <row r="80" ht="37.5" customHeight="1" s="88">
      <c r="A80" s="3" t="n"/>
      <c r="B80" s="3" t="n"/>
      <c r="C80" s="3" t="n"/>
      <c r="D80" s="84" t="n"/>
      <c r="E80" s="84" t="n"/>
      <c r="F80" s="84" t="n"/>
      <c r="G80" s="3" t="n"/>
      <c r="H80" s="85" t="n"/>
      <c r="I80" s="85" t="n"/>
      <c r="J80" s="86" t="n"/>
      <c r="K80" s="87" t="n"/>
      <c r="L80" s="85" t="n"/>
      <c r="M80" s="85" t="n"/>
      <c r="N80" s="85" t="n"/>
      <c r="O80" s="3" t="n"/>
      <c r="P80" s="3" t="n"/>
      <c r="Q80" s="3" t="n"/>
      <c r="R80" s="3" t="n"/>
      <c r="S80" s="3" t="n"/>
      <c r="T80" s="3" t="n"/>
      <c r="U80" s="3" t="n"/>
      <c r="V80" s="3" t="n"/>
      <c r="W80" s="3" t="n"/>
      <c r="X80" s="3" t="n"/>
      <c r="Y80" s="3" t="n"/>
      <c r="Z80" s="3" t="n"/>
    </row>
    <row r="81" ht="37.5" customHeight="1" s="88">
      <c r="A81" s="3" t="n"/>
      <c r="B81" s="3" t="n"/>
      <c r="C81" s="3" t="n"/>
      <c r="D81" s="84" t="n"/>
      <c r="E81" s="84" t="n"/>
      <c r="F81" s="84" t="n"/>
      <c r="G81" s="3" t="n"/>
      <c r="H81" s="85" t="n"/>
      <c r="I81" s="85" t="n"/>
      <c r="J81" s="86" t="n"/>
      <c r="K81" s="87" t="n"/>
      <c r="L81" s="85" t="n"/>
      <c r="M81" s="85" t="n"/>
      <c r="N81" s="85" t="n"/>
      <c r="O81" s="3" t="n"/>
      <c r="P81" s="3" t="n"/>
      <c r="Q81" s="3" t="n"/>
      <c r="R81" s="3" t="n"/>
      <c r="S81" s="3" t="n"/>
      <c r="T81" s="3" t="n"/>
      <c r="U81" s="3" t="n"/>
      <c r="V81" s="3" t="n"/>
      <c r="W81" s="3" t="n"/>
      <c r="X81" s="3" t="n"/>
      <c r="Y81" s="3" t="n"/>
      <c r="Z81" s="3" t="n"/>
    </row>
    <row r="82" ht="37.5" customHeight="1" s="88">
      <c r="A82" s="3" t="n"/>
      <c r="B82" s="3" t="n"/>
      <c r="C82" s="3" t="n"/>
      <c r="D82" s="84" t="n"/>
      <c r="E82" s="84" t="n"/>
      <c r="F82" s="84" t="n"/>
      <c r="G82" s="3" t="n"/>
      <c r="H82" s="85" t="n"/>
      <c r="I82" s="85" t="n"/>
      <c r="J82" s="86" t="n"/>
      <c r="K82" s="87" t="n"/>
      <c r="L82" s="85" t="n"/>
      <c r="M82" s="85" t="n"/>
      <c r="N82" s="85" t="n"/>
      <c r="O82" s="3" t="n"/>
      <c r="P82" s="3" t="n"/>
      <c r="Q82" s="3" t="n"/>
      <c r="R82" s="3" t="n"/>
      <c r="S82" s="3" t="n"/>
      <c r="T82" s="3" t="n"/>
      <c r="U82" s="3" t="n"/>
      <c r="V82" s="3" t="n"/>
      <c r="W82" s="3" t="n"/>
      <c r="X82" s="3" t="n"/>
      <c r="Y82" s="3" t="n"/>
      <c r="Z82" s="3" t="n"/>
    </row>
    <row r="83" ht="37.5" customHeight="1" s="88">
      <c r="A83" s="3" t="n"/>
      <c r="B83" s="3" t="n"/>
      <c r="C83" s="3" t="n"/>
      <c r="D83" s="84" t="n"/>
      <c r="E83" s="84" t="n"/>
      <c r="F83" s="84" t="n"/>
      <c r="G83" s="3" t="n"/>
      <c r="H83" s="85" t="n"/>
      <c r="I83" s="85" t="n"/>
      <c r="J83" s="86" t="n"/>
      <c r="K83" s="87" t="n"/>
      <c r="L83" s="85" t="n"/>
      <c r="M83" s="85" t="n"/>
      <c r="N83" s="85" t="n"/>
      <c r="O83" s="3" t="n"/>
      <c r="P83" s="3" t="n"/>
      <c r="Q83" s="3" t="n"/>
      <c r="R83" s="3" t="n"/>
      <c r="S83" s="3" t="n"/>
      <c r="T83" s="3" t="n"/>
      <c r="U83" s="3" t="n"/>
      <c r="V83" s="3" t="n"/>
      <c r="W83" s="3" t="n"/>
      <c r="X83" s="3" t="n"/>
      <c r="Y83" s="3" t="n"/>
      <c r="Z83" s="3" t="n"/>
    </row>
    <row r="84" ht="37.5" customHeight="1" s="88">
      <c r="A84" s="3" t="n"/>
      <c r="B84" s="3" t="n"/>
      <c r="C84" s="3" t="n"/>
      <c r="D84" s="84" t="n"/>
      <c r="E84" s="84" t="n"/>
      <c r="F84" s="84" t="n"/>
      <c r="G84" s="3" t="n"/>
      <c r="H84" s="85" t="n"/>
      <c r="I84" s="85" t="n"/>
      <c r="J84" s="86" t="n"/>
      <c r="K84" s="87" t="n"/>
      <c r="L84" s="85" t="n"/>
      <c r="M84" s="85" t="n"/>
      <c r="N84" s="85" t="n"/>
      <c r="O84" s="3" t="n"/>
      <c r="P84" s="3" t="n"/>
      <c r="Q84" s="3" t="n"/>
      <c r="R84" s="3" t="n"/>
      <c r="S84" s="3" t="n"/>
      <c r="T84" s="3" t="n"/>
      <c r="U84" s="3" t="n"/>
      <c r="V84" s="3" t="n"/>
      <c r="W84" s="3" t="n"/>
      <c r="X84" s="3" t="n"/>
      <c r="Y84" s="3" t="n"/>
      <c r="Z84" s="3" t="n"/>
    </row>
    <row r="85" ht="37.5" customHeight="1" s="88">
      <c r="A85" s="3" t="n"/>
      <c r="B85" s="3" t="n"/>
      <c r="C85" s="3" t="n"/>
      <c r="D85" s="84" t="n"/>
      <c r="E85" s="84" t="n"/>
      <c r="F85" s="84" t="n"/>
      <c r="G85" s="3" t="n"/>
      <c r="H85" s="85" t="n"/>
      <c r="I85" s="85" t="n"/>
      <c r="J85" s="86" t="n"/>
      <c r="K85" s="87" t="n"/>
      <c r="L85" s="85" t="n"/>
      <c r="M85" s="85" t="n"/>
      <c r="N85" s="85" t="n"/>
      <c r="O85" s="3" t="n"/>
      <c r="P85" s="3" t="n"/>
      <c r="Q85" s="3" t="n"/>
      <c r="R85" s="3" t="n"/>
      <c r="S85" s="3" t="n"/>
      <c r="T85" s="3" t="n"/>
      <c r="U85" s="3" t="n"/>
      <c r="V85" s="3" t="n"/>
      <c r="W85" s="3" t="n"/>
      <c r="X85" s="3" t="n"/>
      <c r="Y85" s="3" t="n"/>
      <c r="Z85" s="3" t="n"/>
    </row>
    <row r="86" ht="37.5" customHeight="1" s="88">
      <c r="A86" s="3" t="n"/>
      <c r="B86" s="3" t="n"/>
      <c r="C86" s="3" t="n"/>
      <c r="D86" s="84" t="n"/>
      <c r="E86" s="84" t="n"/>
      <c r="F86" s="84" t="n"/>
      <c r="G86" s="3" t="n"/>
      <c r="H86" s="85" t="n"/>
      <c r="I86" s="85" t="n"/>
      <c r="J86" s="86" t="n"/>
      <c r="K86" s="87" t="n"/>
      <c r="L86" s="85" t="n"/>
      <c r="M86" s="85" t="n"/>
      <c r="N86" s="85" t="n"/>
      <c r="O86" s="3" t="n"/>
      <c r="P86" s="3" t="n"/>
      <c r="Q86" s="3" t="n"/>
      <c r="R86" s="3" t="n"/>
      <c r="S86" s="3" t="n"/>
      <c r="T86" s="3" t="n"/>
      <c r="U86" s="3" t="n"/>
      <c r="V86" s="3" t="n"/>
      <c r="W86" s="3" t="n"/>
      <c r="X86" s="3" t="n"/>
      <c r="Y86" s="3" t="n"/>
      <c r="Z86" s="3" t="n"/>
    </row>
    <row r="87" ht="37.5" customHeight="1" s="88">
      <c r="A87" s="3" t="n"/>
      <c r="B87" s="3" t="n"/>
      <c r="C87" s="3" t="n"/>
      <c r="D87" s="84" t="n"/>
      <c r="E87" s="84" t="n"/>
      <c r="F87" s="84" t="n"/>
      <c r="G87" s="3" t="n"/>
      <c r="H87" s="85" t="n"/>
      <c r="I87" s="85" t="n"/>
      <c r="J87" s="86" t="n"/>
      <c r="K87" s="87" t="n"/>
      <c r="L87" s="85" t="n"/>
      <c r="M87" s="85" t="n"/>
      <c r="N87" s="85" t="n"/>
      <c r="O87" s="3" t="n"/>
      <c r="P87" s="3" t="n"/>
      <c r="Q87" s="3" t="n"/>
      <c r="R87" s="3" t="n"/>
      <c r="S87" s="3" t="n"/>
      <c r="T87" s="3" t="n"/>
      <c r="U87" s="3" t="n"/>
      <c r="V87" s="3" t="n"/>
      <c r="W87" s="3" t="n"/>
      <c r="X87" s="3" t="n"/>
      <c r="Y87" s="3" t="n"/>
      <c r="Z87" s="3" t="n"/>
    </row>
    <row r="88" ht="37.5" customHeight="1" s="88">
      <c r="A88" s="3" t="n"/>
      <c r="B88" s="3" t="n"/>
      <c r="C88" s="3" t="n"/>
      <c r="D88" s="84" t="n"/>
      <c r="E88" s="84" t="n"/>
      <c r="F88" s="84" t="n"/>
      <c r="G88" s="3" t="n"/>
      <c r="H88" s="85" t="n"/>
      <c r="I88" s="85" t="n"/>
      <c r="J88" s="86" t="n"/>
      <c r="K88" s="87" t="n"/>
      <c r="L88" s="85" t="n"/>
      <c r="M88" s="85" t="n"/>
      <c r="N88" s="85" t="n"/>
      <c r="O88" s="3" t="n"/>
      <c r="P88" s="3" t="n"/>
      <c r="Q88" s="3" t="n"/>
      <c r="R88" s="3" t="n"/>
      <c r="S88" s="3" t="n"/>
      <c r="T88" s="3" t="n"/>
      <c r="U88" s="3" t="n"/>
      <c r="V88" s="3" t="n"/>
      <c r="W88" s="3" t="n"/>
      <c r="X88" s="3" t="n"/>
      <c r="Y88" s="3" t="n"/>
      <c r="Z88" s="3" t="n"/>
    </row>
    <row r="89" ht="37.5" customHeight="1" s="88">
      <c r="A89" s="3" t="n"/>
      <c r="B89" s="3" t="n"/>
      <c r="C89" s="3" t="n"/>
      <c r="D89" s="84" t="n"/>
      <c r="E89" s="84" t="n"/>
      <c r="F89" s="84" t="n"/>
      <c r="G89" s="3" t="n"/>
      <c r="H89" s="85" t="n"/>
      <c r="I89" s="85" t="n"/>
      <c r="J89" s="86" t="n"/>
      <c r="K89" s="87" t="n"/>
      <c r="L89" s="85" t="n"/>
      <c r="M89" s="85" t="n"/>
      <c r="N89" s="85" t="n"/>
      <c r="O89" s="3" t="n"/>
      <c r="P89" s="3" t="n"/>
      <c r="Q89" s="3" t="n"/>
      <c r="R89" s="3" t="n"/>
      <c r="S89" s="3" t="n"/>
      <c r="T89" s="3" t="n"/>
      <c r="U89" s="3" t="n"/>
      <c r="V89" s="3" t="n"/>
      <c r="W89" s="3" t="n"/>
      <c r="X89" s="3" t="n"/>
      <c r="Y89" s="3" t="n"/>
      <c r="Z89" s="3" t="n"/>
    </row>
    <row r="90" ht="37.5" customHeight="1" s="88">
      <c r="A90" s="3" t="n"/>
      <c r="B90" s="3" t="n"/>
      <c r="C90" s="3" t="n"/>
      <c r="D90" s="84" t="n"/>
      <c r="E90" s="84" t="n"/>
      <c r="F90" s="84" t="n"/>
      <c r="G90" s="3" t="n"/>
      <c r="H90" s="85" t="n"/>
      <c r="I90" s="85" t="n"/>
      <c r="J90" s="86" t="n"/>
      <c r="K90" s="87" t="n"/>
      <c r="L90" s="85" t="n"/>
      <c r="M90" s="85" t="n"/>
      <c r="N90" s="85" t="n"/>
      <c r="O90" s="3" t="n"/>
      <c r="P90" s="3" t="n"/>
      <c r="Q90" s="3" t="n"/>
      <c r="R90" s="3" t="n"/>
      <c r="S90" s="3" t="n"/>
      <c r="T90" s="3" t="n"/>
      <c r="U90" s="3" t="n"/>
      <c r="V90" s="3" t="n"/>
      <c r="W90" s="3" t="n"/>
      <c r="X90" s="3" t="n"/>
      <c r="Y90" s="3" t="n"/>
      <c r="Z90" s="3" t="n"/>
    </row>
    <row r="91" ht="37.5" customHeight="1" s="88">
      <c r="A91" s="3" t="n"/>
      <c r="B91" s="3" t="n"/>
      <c r="C91" s="3" t="n"/>
      <c r="D91" s="84" t="n"/>
      <c r="E91" s="84" t="n"/>
      <c r="F91" s="84" t="n"/>
      <c r="G91" s="3" t="n"/>
      <c r="H91" s="85" t="n"/>
      <c r="I91" s="85" t="n"/>
      <c r="J91" s="86" t="n"/>
      <c r="K91" s="87" t="n"/>
      <c r="L91" s="85" t="n"/>
      <c r="M91" s="85" t="n"/>
      <c r="N91" s="85" t="n"/>
      <c r="O91" s="3" t="n"/>
      <c r="P91" s="3" t="n"/>
      <c r="Q91" s="3" t="n"/>
      <c r="R91" s="3" t="n"/>
      <c r="S91" s="3" t="n"/>
      <c r="T91" s="3" t="n"/>
      <c r="U91" s="3" t="n"/>
      <c r="V91" s="3" t="n"/>
      <c r="W91" s="3" t="n"/>
      <c r="X91" s="3" t="n"/>
      <c r="Y91" s="3" t="n"/>
      <c r="Z91" s="3" t="n"/>
    </row>
    <row r="92" ht="15.75" customHeight="1" s="88">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88">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88">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88">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88">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88">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8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88">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88">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88">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88">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88">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88">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88">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88">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88">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8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88">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88">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88">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88">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88">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88">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88">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88">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88">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8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88">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88">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88">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88">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88">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88">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88">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88">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88">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8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88">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88">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88">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88">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88">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88">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88">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88">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88">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8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88">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88">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8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8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8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8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8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8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8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8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8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8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8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8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8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8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8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8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8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8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8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8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8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8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8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8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8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8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8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8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8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8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8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8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8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8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8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8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8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8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8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8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8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8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8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8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8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8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8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8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8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8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8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8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8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8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8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8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8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8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8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8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8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8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8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8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8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8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8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8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8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8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8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8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8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8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8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8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8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8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8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8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8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8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8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8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8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8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8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8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8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8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8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8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8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8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8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8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8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8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8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8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8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8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8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8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8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8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8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8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8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8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8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8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8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8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8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8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8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8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8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8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8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8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8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8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8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8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8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8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8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8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8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8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8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8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8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8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8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8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8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8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8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8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8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8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8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8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8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8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8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8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8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8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8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8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8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8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8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8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8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8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8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8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8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8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8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8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8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8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8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8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8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8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8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8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8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8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8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8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8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8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8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8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8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8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8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8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8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8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8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8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8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8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8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8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8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8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8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8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8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8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8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8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8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8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8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8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8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8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8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8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8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8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8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8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8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8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8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8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8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8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8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8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8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8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8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8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8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8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8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8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8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8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8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8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8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8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8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8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8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8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8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8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8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8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8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8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8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8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8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8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8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8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8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8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8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8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8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8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8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8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8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8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8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8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8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8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8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8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8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8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8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8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8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8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8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8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8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8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8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8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8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8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8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8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8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8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8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8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8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8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8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8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8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8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8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8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8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8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8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8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8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8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8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8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8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8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8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8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8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8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8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8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8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8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8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8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8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8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8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8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8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8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8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8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8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8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8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8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8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8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8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8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8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8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8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8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8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8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8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8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8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8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8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8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8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8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8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8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8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8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8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8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8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8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8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8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8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8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8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8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8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8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8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8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8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8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8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8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8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8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8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8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8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8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8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8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8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8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8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8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8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8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8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8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8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8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8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8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8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8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8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8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8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8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8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8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8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8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8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8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8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8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8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8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8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8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8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8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8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8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8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8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8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8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8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8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8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8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8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8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8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8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8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8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8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8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8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8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8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8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8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8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8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8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8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8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8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8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8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8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8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8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8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8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8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8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8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8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8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8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8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8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8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8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8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8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8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8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8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8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8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8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8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8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8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8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8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8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8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8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8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8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8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8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8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8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8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8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8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8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8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8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8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8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8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8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8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8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8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8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8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8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8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8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8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8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8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8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8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8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8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8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8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8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8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8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8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8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8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8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8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8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8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8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8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8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8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8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8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8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8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8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8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8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8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8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8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8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8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8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8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8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8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8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8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8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8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8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8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8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8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8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8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8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8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8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8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8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8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8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8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8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8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8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8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8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8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8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8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8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8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8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8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8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8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8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8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8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8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8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8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8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8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8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8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8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8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8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8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8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8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8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8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8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8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8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8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8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8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8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8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8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8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8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8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8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8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8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8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8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8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8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8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8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8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8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8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8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8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8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8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8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8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8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8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8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8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8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8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8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8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8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8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8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8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8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8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8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8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8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8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8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8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8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8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8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8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8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8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8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8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8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8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8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8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8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8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8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8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8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8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8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8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8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8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8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8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8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8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8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8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8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8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8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8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8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8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8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8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8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8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8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8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8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8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8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8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8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8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8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8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8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8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8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8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8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8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8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8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8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8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8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8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8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8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8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8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8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8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8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8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8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8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8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8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8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8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8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8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8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8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8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8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8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8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8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8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8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8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8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8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8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8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8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8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8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8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8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8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8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8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8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8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8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8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8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8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8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8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8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8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8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8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8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8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8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8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8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8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8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8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8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8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8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8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8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8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8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8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8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8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8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8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8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8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8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8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8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8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8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8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8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8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8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8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8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8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8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8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8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8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8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8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8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8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8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8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8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8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8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8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8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8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8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8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8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8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8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8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8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8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8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8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8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8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8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8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8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8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8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8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8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8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8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8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8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8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8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8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8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8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8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8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8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8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8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8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8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8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8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8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8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8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8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8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8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8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8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8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8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8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8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8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8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8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8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8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8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8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8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8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D3:F3"/>
    <mergeCell ref="A1:H1"/>
  </mergeCells>
  <conditionalFormatting sqref="B10:B18">
    <cfRule type="expression" priority="1" dxfId="5">
      <formula>B10="Missing"</formula>
    </cfRule>
  </conditionalFormatting>
  <conditionalFormatting sqref="B5">
    <cfRule type="expression" priority="2" dxfId="5">
      <formula>ABS(B5-50000)&gt;5000</formula>
    </cfRule>
  </conditionalFormatting>
  <dataValidations count="5">
    <dataValidation sqref="B63:B91" showDropDown="0" showInputMessage="0" showErrorMessage="0" allowBlank="1" type="list">
      <formula1>"Account monitoring,Prioritization,Inbound issue handling,Customer check-in support,Output quality review,Targeted intervention planning,24/7 responsiveness / escalation,Memory / context retrieval,Evaluation / QA"</formula1>
    </dataValidation>
    <dataValidation sqref="I13:I62" showDropDown="0" showInputMessage="0" showErrorMessage="0" allowBlank="1" type="list">
      <formula1>'Pricing Reference'!$B$5:$B$12</formula1>
    </dataValidation>
    <dataValidation sqref="G16:G91" showDropDown="0" showInputMessage="0" showErrorMessage="0" allowBlank="1" type="list">
      <formula1>"Low-cost model,Mid model,High-reasoning model,Embedding / retrieval"</formula1>
    </dataValidation>
    <dataValidation sqref="E13:E62" showDropDown="0" showInputMessage="0" showErrorMessage="0" allowBlank="1" type="list">
      <formula1>'Cadence Reference'!$A$5:$A$12</formula1>
    </dataValidation>
    <dataValidation sqref="B13:B62" showDropDown="0" showInputMessage="0" showErrorMessage="0" allowBlank="1" type="list">
      <formula1>'Token Math Template'!$D$5:$D$13</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sheetData>
    <row r="1">
      <c r="A1" s="27" t="inlineStr">
        <is>
          <t>Scenario Analysis</t>
        </is>
      </c>
      <c r="I1" s="3" t="n"/>
      <c r="J1" s="3" t="n"/>
      <c r="K1" s="3" t="n"/>
      <c r="L1" s="3" t="n"/>
      <c r="M1" s="3" t="n"/>
      <c r="N1" s="3" t="n"/>
      <c r="O1" s="3" t="n"/>
      <c r="P1" s="3" t="n"/>
      <c r="Q1" s="3" t="n"/>
      <c r="R1" s="3" t="n"/>
      <c r="S1" s="3" t="n"/>
      <c r="T1" s="3" t="n"/>
      <c r="U1" s="3" t="n"/>
      <c r="V1" s="3" t="n"/>
      <c r="W1" s="3" t="n"/>
      <c r="X1" s="3" t="n"/>
      <c r="Y1" s="3" t="n"/>
      <c r="Z1" s="3" t="n"/>
    </row>
    <row r="2">
      <c r="A2" s="8" t="inlineStr">
        <is>
          <t>Use this to test sensitivity. Fill multipliers for Base, Scaled, Stress, and Optimized cases. Explain each scenario in the rationale column.</t>
        </is>
      </c>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45" t="inlineStr">
        <is>
          <t>Scenario</t>
        </is>
      </c>
      <c r="B4" s="45" t="inlineStr">
        <is>
          <t>Volume multiplier</t>
        </is>
      </c>
      <c r="C4" s="45" t="inlineStr">
        <is>
          <t>Token-size multiplier</t>
        </is>
      </c>
      <c r="D4" s="45" t="inlineStr">
        <is>
          <t>Model price multiplier</t>
        </is>
      </c>
      <c r="E4" s="45" t="inlineStr">
        <is>
          <t>QA/retry multiplier</t>
        </is>
      </c>
      <c r="F4" s="45" t="inlineStr">
        <is>
          <t>Estimated annual cost</t>
        </is>
      </c>
      <c r="G4" s="45" t="inlineStr">
        <is>
          <t>Budget utilization</t>
        </is>
      </c>
      <c r="H4" s="45" t="inlineStr">
        <is>
          <t>Rationale</t>
        </is>
      </c>
      <c r="I4" s="3" t="n"/>
      <c r="J4" s="3" t="n"/>
      <c r="K4" s="3" t="n"/>
      <c r="L4" s="3" t="n"/>
      <c r="M4" s="3" t="n"/>
      <c r="N4" s="3" t="n"/>
      <c r="O4" s="3" t="n"/>
      <c r="P4" s="3" t="n"/>
      <c r="Q4" s="3" t="n"/>
      <c r="R4" s="3" t="n"/>
      <c r="S4" s="3" t="n"/>
      <c r="T4" s="3" t="n"/>
      <c r="U4" s="3" t="n"/>
      <c r="V4" s="3" t="n"/>
      <c r="W4" s="3" t="n"/>
      <c r="X4" s="3" t="n"/>
      <c r="Y4" s="3" t="n"/>
      <c r="Z4" s="3" t="n"/>
    </row>
    <row r="5">
      <c r="A5" s="50" t="inlineStr">
        <is>
          <t>Base case</t>
        </is>
      </c>
      <c r="B5" s="56" t="n">
        <v>1</v>
      </c>
      <c r="C5" s="56" t="n">
        <v>1</v>
      </c>
      <c r="D5" s="56" t="n">
        <v>1</v>
      </c>
      <c r="E5" s="56" t="n">
        <v>1</v>
      </c>
      <c r="F5" s="58">
        <f>IF(COUNTA(B5:E5)&lt;4,"",'Token Math Template'!$B$4*B5*C5*D5*E5)</f>
        <v/>
      </c>
      <c r="G5" s="55">
        <f>IF(F5="","",F5/'Token Math Template'!$B$3)</f>
        <v/>
      </c>
      <c r="H5" s="50" t="inlineStr">
        <is>
          <t>Expected production usage based on the Token Math Template as designed: ~$700/year, ~1.4% of budget.</t>
        </is>
      </c>
      <c r="I5" s="3" t="n"/>
      <c r="J5" s="3" t="n"/>
      <c r="K5" s="3" t="n"/>
      <c r="L5" s="3" t="n"/>
      <c r="M5" s="3" t="n"/>
      <c r="N5" s="3" t="n"/>
      <c r="O5" s="3" t="n"/>
      <c r="P5" s="3" t="n"/>
      <c r="Q5" s="3" t="n"/>
      <c r="R5" s="3" t="n"/>
      <c r="S5" s="3" t="n"/>
      <c r="T5" s="3" t="n"/>
      <c r="U5" s="3" t="n"/>
      <c r="V5" s="3" t="n"/>
      <c r="W5" s="3" t="n"/>
      <c r="X5" s="3" t="n"/>
      <c r="Y5" s="3" t="n"/>
      <c r="Z5" s="3" t="n"/>
    </row>
    <row r="6">
      <c r="A6" s="32" t="inlineStr">
        <is>
          <t>Scaled case</t>
        </is>
      </c>
      <c r="B6" s="75" t="n">
        <v>1.5</v>
      </c>
      <c r="C6" s="75" t="n">
        <v>1.2</v>
      </c>
      <c r="D6" s="75" t="n">
        <v>1</v>
      </c>
      <c r="E6" s="75" t="n">
        <v>1.1</v>
      </c>
      <c r="F6" s="76">
        <f>IF(COUNTA(B6:E6)&lt;4,"",'Token Math Template'!$B$4*B6*C6*D6*E6)</f>
        <v/>
      </c>
      <c r="G6" s="69">
        <f>IF(F6="","",F6/'Token Math Template'!$B$3)</f>
        <v/>
      </c>
      <c r="H6" s="70" t="inlineStr">
        <is>
          <t>Portfolio grows from 750 to ~1,125 accounts and check-in/issue volume scales 1.5x; prompts carry somewhat more context (1.2x) as account history accumulates; QA/retry overhead ticks up slightly (1.1x) with more edge cases at scale.</t>
        </is>
      </c>
      <c r="I6" s="3" t="n"/>
      <c r="J6" s="3" t="n"/>
      <c r="K6" s="3" t="n"/>
      <c r="L6" s="3" t="n"/>
      <c r="M6" s="3" t="n"/>
      <c r="N6" s="3" t="n"/>
      <c r="O6" s="3" t="n"/>
      <c r="P6" s="3" t="n"/>
      <c r="Q6" s="3" t="n"/>
      <c r="R6" s="3" t="n"/>
      <c r="S6" s="3" t="n"/>
      <c r="T6" s="3" t="n"/>
      <c r="U6" s="3" t="n"/>
      <c r="V6" s="3" t="n"/>
      <c r="W6" s="3" t="n"/>
      <c r="X6" s="3" t="n"/>
      <c r="Y6" s="3" t="n"/>
      <c r="Z6" s="3" t="n"/>
    </row>
    <row r="7">
      <c r="A7" s="50" t="inlineStr">
        <is>
          <t>Stress case</t>
        </is>
      </c>
      <c r="B7" s="82" t="n">
        <v>2</v>
      </c>
      <c r="C7" s="82" t="n">
        <v>1.5</v>
      </c>
      <c r="D7" s="82" t="n">
        <v>1.3</v>
      </c>
      <c r="E7" s="82" t="n">
        <v>1.5</v>
      </c>
      <c r="F7" s="83">
        <f>IF(COUNTA(B7:E7)&lt;4,"",'Token Math Template'!$B$4*B7*C7*D7*E7)</f>
        <v/>
      </c>
      <c r="G7" s="60">
        <f>IF(F7="","",F7/'Token Math Template'!$B$3)</f>
        <v/>
      </c>
      <c r="H7" s="77" t="inlineStr">
        <is>
          <t>Portfolio doubles to ~1,500 accounts with a spike in inbound issues (e.g., a platform incident), full account history is carried in more prompts (1.5x tokens), model prices rise 30% (vendor pricing change), and QA/retry overhead rises 1.5x as more outputs need human review under pressure. Tests whether the architecture still has headroom inside $50,000/year.</t>
        </is>
      </c>
      <c r="I7" s="3" t="n"/>
      <c r="J7" s="3" t="n"/>
      <c r="K7" s="3" t="n"/>
      <c r="L7" s="3" t="n"/>
      <c r="M7" s="3" t="n"/>
      <c r="N7" s="3" t="n"/>
      <c r="O7" s="3" t="n"/>
      <c r="P7" s="3" t="n"/>
      <c r="Q7" s="3" t="n"/>
      <c r="R7" s="3" t="n"/>
      <c r="S7" s="3" t="n"/>
      <c r="T7" s="3" t="n"/>
      <c r="U7" s="3" t="n"/>
      <c r="V7" s="3" t="n"/>
      <c r="W7" s="3" t="n"/>
      <c r="X7" s="3" t="n"/>
      <c r="Y7" s="3" t="n"/>
      <c r="Z7" s="3" t="n"/>
    </row>
    <row r="8">
      <c r="A8" s="32" t="inlineStr">
        <is>
          <t>Optimized case</t>
        </is>
      </c>
      <c r="B8" s="75" t="n">
        <v>1</v>
      </c>
      <c r="C8" s="75" t="n">
        <v>0.7</v>
      </c>
      <c r="D8" s="75" t="n">
        <v>0.7</v>
      </c>
      <c r="E8" s="75" t="n">
        <v>0.9</v>
      </c>
      <c r="F8" s="76">
        <f>IF(COUNTA(B8:E8)&lt;4,"",'Token Math Template'!$B$4*B8*C8*D8*E8)</f>
        <v/>
      </c>
      <c r="G8" s="69">
        <f>IF(F8="","",F8/'Token Math Template'!$B$3)</f>
        <v/>
      </c>
      <c r="H8" s="70" t="inlineStr">
        <is>
          <t>Same base-case volume, but prompt caching and tighter retrieval cut effective input tokens ~30% (0.7x), batch-API discounts cut effective price ~30% (0.7x), and a maturing system needs slightly less retry/QA overhead (0.9x) as prompts and routing logic are tuned. Shows the cost ceiling can be lowered further without cutting workflow coverage.</t>
        </is>
      </c>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8" defaultColWidth="14.43" defaultRowHeight="15" customHeight="1"/>
  <sheetData>
    <row r="1">
      <c r="A1" s="0" t="inlineStr">
        <is>
          <t>Candidate Assumptions</t>
        </is>
      </c>
    </row>
    <row r="2">
      <c r="A2" s="0" t="inlineStr">
        <is>
          <t>Volume</t>
        </is>
      </c>
      <c r="B2" s="0" t="inlineStr">
        <is>
          <t>750-account portfolio. Account monitoring batches 50 accounts/call (15 calls/business day) rather than 1 call/account, which is the single biggest cost lever in this design -- a per-account daily call would be ~50x the monitoring cost. Inbound issue (30/wk) and check-in (12/wk) volumes are taken directly from the stated operating scope. Output quality review volume (40/wk) and intervention measurement cadence (biweekly) are estimated, since the prompt didn't specify exact output volume -- flagged here rather than hidden in the row.</t>
        </is>
      </c>
    </row>
    <row r="3">
      <c r="A3" s="0" t="inlineStr">
        <is>
          <t>Model routing</t>
        </is>
      </c>
      <c r="B3" s="0" t="inlineStr">
        <is>
          <t>Claude Haiku 4.5 is used for high-volume, low-ambiguity steps: batched health scoring, ticket classification/routing, check-in continuity logging, intervention outcome measurement, and 24/7 escalation triage. Claude Sonnet 4.6 is reserved for steps requiring multi-signal reasoning or customer-facing judgment: prioritization rollups, issue response drafting, check-in prep, output quality review, and intervention design. A separate model family (GPT-5.4 mini) is used for the weekly sampled evaluation audit specifically to avoid correlated blind spots if the audit ran on the same model family as production.</t>
        </is>
      </c>
    </row>
    <row r="4">
      <c r="A4" s="0" t="inlineStr">
        <is>
          <t>Context size</t>
        </is>
      </c>
      <c r="B4" s="0" t="inlineStr">
        <is>
          <t>Input tokens scale with how much history a step needs: ticket routing only needs the ticket itself (~800 tok), while check-in prep and intervention design need multi-account/multi-call history (2,000-4,000 tok). Memory/retrieval row exists to keep these context sizes from growing unbounded as account history accumulates over the year -- it retrieves relevant slices instead of full history.</t>
        </is>
      </c>
    </row>
    <row r="5">
      <c r="A5" s="0" t="inlineStr">
        <is>
          <t>Retry / QA overhead</t>
        </is>
      </c>
      <c r="B5" s="0" t="inlineStr">
        <is>
          <t>Retry rates are low (2-5%) for purely structured/classification tasks and higher (10%) for steps producing customer-visible or decision-grade text (issue drafting, quality review, intervention design), reflecting a higher bar for those outputs. QA multipliers are applied as a flat overhead (1.0-1.2x) representing an automated or sampled secondary check rather than a full duplicate call, except for the weekly Evaluation/QA row which is itself a dedicated secondary-audit cost.</t>
        </is>
      </c>
    </row>
    <row r="6">
      <c r="A6" s="0" t="inlineStr">
        <is>
          <t>Caching / batching</t>
        </is>
      </c>
      <c r="B6" s="0" t="inlineStr">
        <is>
          <t>No prompt caching or batch-API discount is assumed in the base case, to keep the numbers conservative/defensible. If real measured costs come in materially under budget, caching frequently-reused account context (notes, standards) would be the first lever to pull, and is noted as a future optimization rather than baked into the base estimate.</t>
        </is>
      </c>
    </row>
    <row r="7">
      <c r="A7" s="0" t="inlineStr">
        <is>
          <t>Budget utilization</t>
        </is>
      </c>
      <c r="B7" s="0" t="inlineStr">
        <is>
          <t>The full design lands at roughly $700/year (~1.4% of the $50,000 budget) even after sizing token counts to reflect realistic agentic, multi-tool-call context (CRM + usage + tickets + notes pulled in per turn, not minimal single-line prompts) and after increasing several volumes beyond the literal prompt minimums (e.g., 20 escalation events/day instead of 5, 40 quality reviews/week instead of the implied lower figure). This is intentionally NOT inflated to consume more of the budget: at current Claude/GPT pricing, a 750-account portfolio with weekly-cadence human-facing workflows is genuinely a low-token-volume operation -- the $50,000 ceiling is sized for a much larger or far more agentic system than this one needs. The Scenario Analysis tab shows that even a Stress case (2x volume, 1.5x context, 1.3x pricing, 1.5x QA overhead -- e.g., doubling the portfolio, a platform incident spiking inbound issues, a vendor price increase, and heavier human review) only reaches ~$4,100/year, still under 10% utilization. The budget headroom is best read as room to add workload this scope doesn't cover yet: ad hoc CSM Q&amp;A against the system, more frequent (sub-daily) account re-scoring, deeper multi-step agentic reasoning per task (self-critique passes, tool-call retries), or expansion to a much larger account base -- any of which would be the first places to spend additional budget before assuming the current architecture is 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2026-05-01T04:09:56Z</dcterms:created>
  <dcterms:modified xmlns:dcterms="http://purl.org/dc/terms/" xmlns:xsi="http://www.w3.org/2001/XMLSchema-instance" xsi:type="dcterms:W3CDTF">2026-06-26T19:40:03Z</dcterms:modified>
</cp:coreProperties>
</file>